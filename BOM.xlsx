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ummary" sheetId="1" state="visible" r:id="rId3"/>
    <sheet name="BOM" sheetId="2" state="visible" r:id="rId4"/>
  </sheets>
  <definedNames>
    <definedName function="false" hidden="true" localSheetId="1" name="_xlnm._FilterDatabase" vbProcedure="false">BOM!$A$4:$P$73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N4" authorId="0">
      <text>
        <r>
          <rPr>
            <sz val="10"/>
            <rFont val="Arial"/>
            <family val="2"/>
          </rPr>
          <t xml:space="preserve">Y = counted in totals. Switch options (e.g. turbo Option A vs B, oil pan O1 vs O2) by flipping Y/N.</t>
        </r>
      </text>
    </comment>
    <comment ref="P4" authorId="0">
      <text>
        <r>
          <rPr>
            <sz val="10"/>
            <rFont val="Arial"/>
            <family val="2"/>
          </rPr>
          <t xml:space="preserve">Notes = Oct 4 2026 planning notes; Vendor = vendor page; Estimate = rough street price, verify before buying.</t>
        </r>
      </text>
    </comment>
  </commentList>
</comments>
</file>

<file path=xl/sharedStrings.xml><?xml version="1.0" encoding="utf-8"?>
<sst xmlns="http://schemas.openxmlformats.org/spreadsheetml/2006/main" count="826" uniqueCount="328">
  <si>
    <t xml:space="preserve">07K ZN6 Turbo Swap — Bill of Materials Summary</t>
  </si>
  <si>
    <t xml:space="preserve">All totals in CAD. Blue cells are inputs; yellow are the key assumptions to keep current. Edit parts on the BOM tab.</t>
  </si>
  <si>
    <t xml:space="preserve">Assumptions</t>
  </si>
  <si>
    <t xml:space="preserve">Currency</t>
  </si>
  <si>
    <t xml:space="preserve">CAD per unit</t>
  </si>
  <si>
    <t xml:space="preserve">Source</t>
  </si>
  <si>
    <t xml:space="preserve">CAD</t>
  </si>
  <si>
    <t xml:space="preserve">—</t>
  </si>
  <si>
    <t xml:space="preserve">USD</t>
  </si>
  <si>
    <t xml:space="preserve">Rate used in the Oct 4, 2026 planning notes (§3). Update to the current rate.</t>
  </si>
  <si>
    <t xml:space="preserve">GBP</t>
  </si>
  <si>
    <t xml:space="preserve">Estimate — check before ordering from the UK.</t>
  </si>
  <si>
    <t xml:space="preserve">Contingency for redos</t>
  </si>
  <si>
    <t xml:space="preserve">Notes §11: budget +20–30% for adapter / pan / mount redos.</t>
  </si>
  <si>
    <t xml:space="preserve">Totals by system (Include = Y only)</t>
  </si>
  <si>
    <t xml:space="preserve">Group</t>
  </si>
  <si>
    <t xml:space="preserve">Low (CAD)</t>
  </si>
  <si>
    <t xml:space="preserve">High (CAD)</t>
  </si>
  <si>
    <t xml:space="preserve">Donors</t>
  </si>
  <si>
    <t xml:space="preserve">Engine prep</t>
  </si>
  <si>
    <t xml:space="preserve">Bellhousing</t>
  </si>
  <si>
    <t xml:space="preserve">Driveline</t>
  </si>
  <si>
    <t xml:space="preserve">Mounts</t>
  </si>
  <si>
    <t xml:space="preserve">Turbo — Option A</t>
  </si>
  <si>
    <t xml:space="preserve">Turbo — Option B</t>
  </si>
  <si>
    <t xml:space="preserve">Turbo</t>
  </si>
  <si>
    <t xml:space="preserve">Exhaust</t>
  </si>
  <si>
    <t xml:space="preserve">Charge air</t>
  </si>
  <si>
    <t xml:space="preserve">Intake</t>
  </si>
  <si>
    <t xml:space="preserve">Fuel</t>
  </si>
  <si>
    <t xml:space="preserve">ECU / electronics</t>
  </si>
  <si>
    <t xml:space="preserve">Cooling</t>
  </si>
  <si>
    <t xml:space="preserve">Oil system</t>
  </si>
  <si>
    <t xml:space="preserve">Misc</t>
  </si>
  <si>
    <t xml:space="preserve">Tools / shop</t>
  </si>
  <si>
    <t xml:space="preserve">Credit</t>
  </si>
  <si>
    <t xml:space="preserve">Totals by phase</t>
  </si>
  <si>
    <t xml:space="preserve">0 Donors</t>
  </si>
  <si>
    <t xml:space="preserve">1 Bench / run stand</t>
  </si>
  <si>
    <t xml:space="preserve">2 NA swap</t>
  </si>
  <si>
    <t xml:space="preserve">3 Turbo</t>
  </si>
  <si>
    <t xml:space="preserve">Tools</t>
  </si>
  <si>
    <t xml:space="preserve">Budget</t>
  </si>
  <si>
    <t xml:space="preserve">Donor car (D1)</t>
  </si>
  <si>
    <t xml:space="preserve">Build parts (everything except the car)</t>
  </si>
  <si>
    <t xml:space="preserve">Contingency on build parts</t>
  </si>
  <si>
    <t xml:space="preserve">Build parts + contingency</t>
  </si>
  <si>
    <t xml:space="preserve">ALL-IN (car + parts + contingency)</t>
  </si>
  <si>
    <t xml:space="preserve">Items still 'To decide' (count)</t>
  </si>
  <si>
    <t xml:space="preserve">Make-it-yourself items (count, included)</t>
  </si>
  <si>
    <t xml:space="preserve">Notes</t>
  </si>
  <si>
    <t xml:space="preserve">• Price basis per line is on the BOM tab: 'Notes' = from the Oct 4 planning notes, 'Vendor' = checked on the vendor page, 'Estimate' = rough street price — verify before buying.</t>
  </si>
  <si>
    <t xml:space="preserve">• Defaults: turbo Option B (custom manifold + Garrett), custom oil pan, A/C and tools excluded, FA20 sale credit excluded. Flip the Include column to compare.</t>
  </si>
  <si>
    <t xml:space="preserve">• Bellhousing recipe (starter / flywheel / clutch) follows the RX8 Gearbox Adapters VW PD/1.8T setup Brett Horn used, with the trans side changed to the TL70.</t>
  </si>
  <si>
    <t xml:space="preserve">• Labour, insurance, registration and safety not included.</t>
  </si>
  <si>
    <t xml:space="preserve">07K ZN6 Turbo Swap — Bill of Materials</t>
  </si>
  <si>
    <t xml:space="preserve">Edit the blue cells: Qty, Currency, Unit low/high, Include (Y/N), Status. Extended costs (CAD) recalculate from the FX rates on the Summary tab. Rows with Include = N are greyed and excluded from totals.</t>
  </si>
  <si>
    <t xml:space="preserve">ID</t>
  </si>
  <si>
    <t xml:space="preserve">System</t>
  </si>
  <si>
    <t xml:space="preserve">Part</t>
  </si>
  <si>
    <t xml:space="preserve">Spec / notes</t>
  </si>
  <si>
    <t xml:space="preserve">Make / Buy</t>
  </si>
  <si>
    <t xml:space="preserve">Vendor / ref</t>
  </si>
  <si>
    <t xml:space="preserve">Phase</t>
  </si>
  <si>
    <t xml:space="preserve">Qty</t>
  </si>
  <si>
    <t xml:space="preserve">Cur</t>
  </si>
  <si>
    <t xml:space="preserve">Unit low</t>
  </si>
  <si>
    <t xml:space="preserve">Unit high</t>
  </si>
  <si>
    <t xml:space="preserve">Ext low (CAD)</t>
  </si>
  <si>
    <t xml:space="preserve">Ext high (CAD)</t>
  </si>
  <si>
    <t xml:space="preserve">Include</t>
  </si>
  <si>
    <t xml:space="preserve">Status</t>
  </si>
  <si>
    <t xml:space="preserve">Price basis</t>
  </si>
  <si>
    <t xml:space="preserve">D1</t>
  </si>
  <si>
    <t xml:space="preserve">ZN6 FR-S / BRZ / 86, manual, RUNNING</t>
  </si>
  <si>
    <t xml:space="preserve">Must run so the stock CAN bus can be logged before the FA20 comes out (§8). Clean shell matters more than mileage.</t>
  </si>
  <si>
    <t xml:space="preserve">Buy</t>
  </si>
  <si>
    <t xml:space="preserve">Kijiji / CarGurus (FR-S near Toronto)</t>
  </si>
  <si>
    <t xml:space="preserve">Y</t>
  </si>
  <si>
    <t xml:space="preserve">Need</t>
  </si>
  <si>
    <t xml:space="preserve">D2</t>
  </si>
  <si>
    <t xml:space="preserve">07K 2.5 engine, 2005–08 (ME7.1.1, MAF) with ECU + harness</t>
  </si>
  <si>
    <t xml:space="preserve">Early ME7.1.1 has the big DIY tuning scene; 2009+ ME17.5 has fewer turbo options. Confirm 6- vs 8-bolt crank flange and measure c (§13).</t>
  </si>
  <si>
    <t xml:space="preserve">eBay / junkyard</t>
  </si>
  <si>
    <t xml:space="preserve">D3</t>
  </si>
  <si>
    <t xml:space="preserve">Junk 02J bellhousing</t>
  </si>
  <si>
    <t xml:space="preserve">Cross-check the VW 4-cyl bolt pattern / dowels before cutting the adapter (§15).</t>
  </si>
  <si>
    <t xml:space="preserve">Junkyard / Marketplace</t>
  </si>
  <si>
    <t xml:space="preserve">Estimate</t>
  </si>
  <si>
    <t xml:space="preserve">D4</t>
  </si>
  <si>
    <t xml:space="preserve">Spare 07K head (or scrap 07K)</t>
  </si>
  <si>
    <t xml:space="preserve">Welding fixture for the exhaust manifold flange so it doesn't warp (§10). Optional — a thick plate also works.</t>
  </si>
  <si>
    <t xml:space="preserve">Junkyard</t>
  </si>
  <si>
    <t xml:space="preserve">N</t>
  </si>
  <si>
    <t xml:space="preserve">Optional</t>
  </si>
  <si>
    <t xml:space="preserve">E1</t>
  </si>
  <si>
    <t xml:space="preserve">Gasket &amp; seal refresh</t>
  </si>
  <si>
    <t xml:space="preserve">Rear main seal, valve cover, oil pan, timing cover sealant, intake/exhaust gaskets.</t>
  </si>
  <si>
    <t xml:space="preserve">ECS / Das Parts / dealer</t>
  </si>
  <si>
    <t xml:space="preserve">E2</t>
  </si>
  <si>
    <t xml:space="preserve">Water pump + thermostat</t>
  </si>
  <si>
    <t xml:space="preserve">Do it while the engine is out.</t>
  </si>
  <si>
    <t xml:space="preserve">ECS / Das Parts</t>
  </si>
  <si>
    <t xml:space="preserve">E3</t>
  </si>
  <si>
    <t xml:space="preserve">Timing chains / guides / tensioners (inspect, replace if worn)</t>
  </si>
  <si>
    <t xml:space="preserve">07K chains are on the flywheel end — engine-out is the only sane time. Range covers inspect-only to full kit.</t>
  </si>
  <si>
    <t xml:space="preserve">To decide</t>
  </si>
  <si>
    <t xml:space="preserve">E4</t>
  </si>
  <si>
    <t xml:space="preserve">Vacuum pump block-off plate</t>
  </si>
  <si>
    <t xml:space="preserve">Delete the pump. Note: Brett found the timing-cover casting still clashes even with the pump deleted.</t>
  </si>
  <si>
    <t xml:space="preserve">Integrated Engineering</t>
  </si>
  <si>
    <t xml:space="preserve">E5</t>
  </si>
  <si>
    <t xml:space="preserve">SAI block-off plates</t>
  </si>
  <si>
    <t xml:space="preserve">Secondary air delete (handled by RevMap file).</t>
  </si>
  <si>
    <t xml:space="preserve">Various</t>
  </si>
  <si>
    <t xml:space="preserve">E6</t>
  </si>
  <si>
    <t xml:space="preserve">Head gasket + ARP head studs</t>
  </si>
  <si>
    <t xml:space="preserve">For boost. Stock rods are the weak link but fine at ~300 hp / 280 lb-ft cap (§7).</t>
  </si>
  <si>
    <t xml:space="preserve">ARP / OEM</t>
  </si>
  <si>
    <t xml:space="preserve">B1</t>
  </si>
  <si>
    <t xml:space="preserve">Adapter plate: 07K (VW 4-cyl pattern) → TL70 / ZN6 bell</t>
  </si>
  <si>
    <t xml:space="preserve">Billet 6061-T6 or 7075; dowels both sides; concentricity ≤0.05 mm; thickness T from stack-up (§13). Alt: ask RX8 Gearbox Adapters (UK) to quote a ZN6 version of their VW PD/1.8T plate.</t>
  </si>
  <si>
    <t xml:space="preserve">Make</t>
  </si>
  <si>
    <t xml:space="preserve">Billet + mill access</t>
  </si>
  <si>
    <t xml:space="preserve">B2</t>
  </si>
  <si>
    <t xml:space="preserve">Printed test plate (full scale)</t>
  </si>
  <si>
    <t xml:space="preserve">Bolt to the engine AND gearbox before cutting metal (§15).</t>
  </si>
  <si>
    <t xml:space="preserve">X1C + PETG/CF</t>
  </si>
  <si>
    <t xml:space="preserve">B3</t>
  </si>
  <si>
    <t xml:space="preserve">Dowels + 10.9 / ARP plate bolts</t>
  </si>
  <si>
    <t xml:space="preserve">Block-to-plate and plate-to-bell.</t>
  </si>
  <si>
    <t xml:space="preserve">McMaster / ARP</t>
  </si>
  <si>
    <t xml:space="preserve">B4</t>
  </si>
  <si>
    <t xml:space="preserve">Flywheel: single-mass DMF replacement for Audi longitudinal 1.8T / PD</t>
  </si>
  <si>
    <t xml:space="preserve">Brett / RX8 Gearbox Adapters recipe. Ring gear must be on the ENGINE side for the longitudinal starter (transverse flywheels have it on the wrong side). Will need machining for offset D and TL70 pilot.</t>
  </si>
  <si>
    <t xml:space="preserve">Audi B5/B6 1.8T SMF (aftermarket)</t>
  </si>
  <si>
    <t xml:space="preserve">B5</t>
  </si>
  <si>
    <t xml:space="preserve">Flywheel machining (offset D, pilot pocket) + dynamic balance</t>
  </si>
  <si>
    <t xml:space="preserve">Outsource — safety-critical (§12). Check whether the 07K flywheel carries a five-cylinder balance weight.</t>
  </si>
  <si>
    <t xml:space="preserve">Outsource</t>
  </si>
  <si>
    <t xml:space="preserve">Machine / balance shop</t>
  </si>
  <si>
    <t xml:space="preserve">B6</t>
  </si>
  <si>
    <t xml:space="preserve">Clutch: VW/Audi pressure plate + hybrid disc with TL70 spline</t>
  </si>
  <si>
    <t xml:space="preserve">Pressure plate must match the flywheel; disc is the custom hybrid (engine-side diameter, TL70 spline). Upgraded for ~280 lb-ft.</t>
  </si>
  <si>
    <t xml:space="preserve">Southbend / SPEC / Clutchmasters</t>
  </si>
  <si>
    <t xml:space="preserve">B7</t>
  </si>
  <si>
    <t xml:space="preserve">Pilot bearing for TL70 input nose</t>
  </si>
  <si>
    <t xml:space="preserve">Check nose protrusion vs crank pocket depth — viewers had input shafts bottoming out.</t>
  </si>
  <si>
    <t xml:space="preserve">OEM Subaru/Toyota</t>
  </si>
  <si>
    <t xml:space="preserve">B8</t>
  </si>
  <si>
    <t xml:space="preserve">Starter: Audi A4 longitudinal PD / 1.8T (reman)</t>
  </si>
  <si>
    <t xml:space="preserve">Mounts on the adapter plate. What Brett used.</t>
  </si>
  <si>
    <t xml:space="preserve">Rock Auto / reman</t>
  </si>
  <si>
    <t xml:space="preserve">B9</t>
  </si>
  <si>
    <t xml:space="preserve">Concentric slave cylinder (adjustable) + remote bleeder</t>
  </si>
  <si>
    <t xml:space="preserve">Only if the ZN6 fork/external slave can't clear the 07K timing-cover casting — Brett couldn't use the RX-8 one. Measure engagement on the bench (bearing-to-finger gap, travel) before the engine goes in.</t>
  </si>
  <si>
    <t xml:space="preserve">Tilton / McLeod / Wilwood</t>
  </si>
  <si>
    <t xml:space="preserve">B10</t>
  </si>
  <si>
    <t xml:space="preserve">Clutch hydraulic line + adapters to ZN6 master</t>
  </si>
  <si>
    <t xml:space="preserve">Check master bore vs slave throw (a 3/4" master was needed on a similar T5 swap).</t>
  </si>
  <si>
    <t xml:space="preserve">B11</t>
  </si>
  <si>
    <t xml:space="preserve">Clutch alignment tool (printed, VW crank pilot / TL70 spline)</t>
  </si>
  <si>
    <t xml:space="preserve">No off-the-shelf tool fits this combo.</t>
  </si>
  <si>
    <t xml:space="preserve">X1C</t>
  </si>
  <si>
    <t xml:space="preserve">B12</t>
  </si>
  <si>
    <t xml:space="preserve">Stock ZN6 TL70 6-speed</t>
  </si>
  <si>
    <t xml:space="preserve">Comes with the car. Torque-limited — cap ~280 lb-ft in the tune (§9).</t>
  </si>
  <si>
    <t xml:space="preserve">Have</t>
  </si>
  <si>
    <t xml:space="preserve">B13</t>
  </si>
  <si>
    <t xml:space="preserve">Driveshaft: custom length, critical-speed checked, balanced</t>
  </si>
  <si>
    <t xml:space="preserve">Outsource (§12).</t>
  </si>
  <si>
    <t xml:space="preserve">Driveshaft shop</t>
  </si>
  <si>
    <t xml:space="preserve">M1</t>
  </si>
  <si>
    <t xml:space="preserve">Engine mounts: fabricated steel brackets + OEM-style rubber isolators</t>
  </si>
  <si>
    <t xml:space="preserve">TIG-welded; model in SolidWorks with the bay scan first.</t>
  </si>
  <si>
    <t xml:space="preserve">Steel + isolators</t>
  </si>
  <si>
    <t xml:space="preserve">M2</t>
  </si>
  <si>
    <t xml:space="preserve">Trans mount: stock ZN6</t>
  </si>
  <si>
    <t xml:space="preserve">Assumes the gearbox stays in its stock position.</t>
  </si>
  <si>
    <t xml:space="preserve">T1</t>
  </si>
  <si>
    <t xml:space="preserve">Byiabed 07K → TT-RS turbo adapter plate</t>
  </si>
  <si>
    <t xml:space="preserve">Option A: factory RS3/TT-RS turbo + manifold in one. Laid out for transverse — mock up in the ZN6 bay first. Set Include = Y to switch.</t>
  </si>
  <si>
    <t xml:space="preserve">Byiabed</t>
  </si>
  <si>
    <t xml:space="preserve">Option</t>
  </si>
  <si>
    <t xml:space="preserve">T2</t>
  </si>
  <si>
    <t xml:space="preserve">Used RS3 / TT-RS K16 turbo</t>
  </si>
  <si>
    <t xml:space="preserve">Option A.</t>
  </si>
  <si>
    <t xml:space="preserve">Used</t>
  </si>
  <si>
    <t xml:space="preserve">T3</t>
  </si>
  <si>
    <t xml:space="preserve">Garrett G25-550 (RR if clocking doesn't work)</t>
  </si>
  <si>
    <t xml:space="preserve">Option B (default): sized for ~300 hp on a 2.5. Try clocking a standard housing before paying for reverse rotation (§10).</t>
  </si>
  <si>
    <t xml:space="preserve">Garrett dealer</t>
  </si>
  <si>
    <t xml:space="preserve">T4</t>
  </si>
  <si>
    <t xml:space="preserve">Exhaust manifold (custom)</t>
  </si>
  <si>
    <t xml:space="preserve">07K flange laser-cut from the CGTrader model; SS304 sch10 weld els; exhaust on the passenger side; no top-mount (low hood).</t>
  </si>
  <si>
    <t xml:space="preserve">Laser cutter + SS304 els</t>
  </si>
  <si>
    <t xml:space="preserve">T5</t>
  </si>
  <si>
    <t xml:space="preserve">External wastegate 38–44 mm</t>
  </si>
  <si>
    <t xml:space="preserve">Tial / Turbosmart</t>
  </si>
  <si>
    <t xml:space="preserve">T6</t>
  </si>
  <si>
    <t xml:space="preserve">Blow-off valve</t>
  </si>
  <si>
    <t xml:space="preserve">Tial / Turbosmart / GFB</t>
  </si>
  <si>
    <t xml:space="preserve">T7</t>
  </si>
  <si>
    <t xml:space="preserve">Oil feed (-4AN + restrictor) and -10AN return + block fittings</t>
  </si>
  <si>
    <t xml:space="preserve">Return bung goes in the custom sump (O1).</t>
  </si>
  <si>
    <t xml:space="preserve">AN supplier</t>
  </si>
  <si>
    <t xml:space="preserve">T8</t>
  </si>
  <si>
    <t xml:space="preserve">Turbo coolant lines</t>
  </si>
  <si>
    <t xml:space="preserve">If the CHRA is water-cooled.</t>
  </si>
  <si>
    <t xml:space="preserve">T9</t>
  </si>
  <si>
    <t xml:space="preserve">Downpipe + exhaust: mandrel bends, V-bands, flex, muffler, hangers</t>
  </si>
  <si>
    <t xml:space="preserve">Downpipe routing past the crossmember into the tunnel decides where the turbo sits (§10).</t>
  </si>
  <si>
    <t xml:space="preserve">Mandrel bends</t>
  </si>
  <si>
    <t xml:space="preserve">T10</t>
  </si>
  <si>
    <t xml:space="preserve">Intercooler core (bar-and-plate)</t>
  </si>
  <si>
    <t xml:space="preserve">T11</t>
  </si>
  <si>
    <t xml:space="preserve">Charge piping: aluminum tube, silicone couplers, T-bolt clamps, bungs</t>
  </si>
  <si>
    <t xml:space="preserve">T12</t>
  </si>
  <si>
    <t xml:space="preserve">Air filter + MAF housing sized for turbo</t>
  </si>
  <si>
    <t xml:space="preserve">ME7 is MAF-based — housing size must match the tune.</t>
  </si>
  <si>
    <t xml:space="preserve">Per tune</t>
  </si>
  <si>
    <t xml:space="preserve">T13</t>
  </si>
  <si>
    <t xml:space="preserve">Intake manifold: stock 07K if it clears, else RWD manifold</t>
  </si>
  <si>
    <t xml:space="preserve">Boost Brothers or a 07K Facebook-group RWD manifold if the stock one hits the strut tower / brake booster. Range covers $0 (stock fits) to bought.</t>
  </si>
  <si>
    <t xml:space="preserve">Boost Brothers / 07K community</t>
  </si>
  <si>
    <t xml:space="preserve">T14</t>
  </si>
  <si>
    <t xml:space="preserve">Boost control: N75/MAC solenoid + boost pressure sensor + lines</t>
  </si>
  <si>
    <t xml:space="preserve">Per tune requirements.</t>
  </si>
  <si>
    <t xml:space="preserve">F1</t>
  </si>
  <si>
    <t xml:space="preserve">In-tank pump upgrade (fits ZN6 hanger)</t>
  </si>
  <si>
    <t xml:space="preserve">Walbro / AEM</t>
  </si>
  <si>
    <t xml:space="preserve">F2</t>
  </si>
  <si>
    <t xml:space="preserve">Injectors ~550 cc (EV14), set of 5</t>
  </si>
  <si>
    <t xml:space="preserve">Sizing: 300 hp ÷ 5 cyl × BSFC 0.6 ≈ 36 lb/hr ≈ 380 cc at 100% → ~475 cc at 80% duty, rounded up.</t>
  </si>
  <si>
    <t xml:space="preserve">Bosch EV14 / FIC</t>
  </si>
  <si>
    <t xml:space="preserve">F3</t>
  </si>
  <si>
    <t xml:space="preserve">Boost-referenced FPR, PTFE -6AN lines, filter, fittings, rail adapter</t>
  </si>
  <si>
    <t xml:space="preserve">07K stock is returnless 4-bar.</t>
  </si>
  <si>
    <t xml:space="preserve">X1</t>
  </si>
  <si>
    <t xml:space="preserve">RevMap 07K swap-ready file</t>
  </si>
  <si>
    <t xml:space="preserve">Removes CAN codes; supports MK4/B6/B7 VW pedals.</t>
  </si>
  <si>
    <t xml:space="preserve">RevMap</t>
  </si>
  <si>
    <t xml:space="preserve">X2</t>
  </si>
  <si>
    <t xml:space="preserve">RevMap immobilizer removal</t>
  </si>
  <si>
    <t xml:space="preserve">X3</t>
  </si>
  <si>
    <t xml:space="preserve">VW drive-by-wire pedal (MK4 / B6 / B7) + bracket</t>
  </si>
  <si>
    <t xml:space="preserve">Run a VW pedal, not the ZN6's (§8).</t>
  </si>
  <si>
    <t xml:space="preserve">X4</t>
  </si>
  <si>
    <t xml:space="preserve">Turbo tune: 034 off-the-shelf ME7, or DIY</t>
  </si>
  <si>
    <t xml:space="preserve">DIY = $0 + logging time. Cap torque ~280 lb-ft for the TL70.</t>
  </si>
  <si>
    <t xml:space="preserve">034 Motorsport / DIY</t>
  </si>
  <si>
    <t xml:space="preserve">X5</t>
  </si>
  <si>
    <t xml:space="preserve">Wideband O2 controller + sensor</t>
  </si>
  <si>
    <t xml:space="preserve">AEM / Innovate / 14Point7</t>
  </si>
  <si>
    <t xml:space="preserve">X6</t>
  </si>
  <si>
    <t xml:space="preserve">Oil pressure, oil temp and boost sensors / gauges</t>
  </si>
  <si>
    <t xml:space="preserve">Log oil pressure from day one (§14).</t>
  </si>
  <si>
    <t xml:space="preserve">X7</t>
  </si>
  <si>
    <t xml:space="preserve">CAN bridge: dual-CAN MCU + transceivers, PCB, enclosure, connectors</t>
  </si>
  <si>
    <t xml:space="preserve">Reads the VW ECU, broadcasts ZN6 cluster / ABS-VSC / EPS / A/C messages. Becomes v2 ECU's CAN module.</t>
  </si>
  <si>
    <t xml:space="preserve">Teensy 4.1 / similar</t>
  </si>
  <si>
    <t xml:space="preserve">X8</t>
  </si>
  <si>
    <t xml:space="preserve">CAN logging interface</t>
  </si>
  <si>
    <t xml:space="preserve">Log the stock ZN6 bus BEFORE pulling the FA20.</t>
  </si>
  <si>
    <t xml:space="preserve">CANable / PCAN-style</t>
  </si>
  <si>
    <t xml:space="preserve">X9</t>
  </si>
  <si>
    <t xml:space="preserve">Harness materials: TXL wire, sealed connectors, DR-25, fuse/relay box</t>
  </si>
  <si>
    <t xml:space="preserve">X10</t>
  </si>
  <si>
    <t xml:space="preserve">Crank/cam stimulator for bench testing</t>
  </si>
  <si>
    <t xml:space="preserve">Validate decoding/outputs on the bench (§8 test sequence). Needs scope access.</t>
  </si>
  <si>
    <t xml:space="preserve">MCU</t>
  </si>
  <si>
    <t xml:space="preserve">C1</t>
  </si>
  <si>
    <t xml:space="preserve">Aluminum radiator sized for turbo</t>
  </si>
  <si>
    <t xml:space="preserve">C2</t>
  </si>
  <si>
    <t xml:space="preserve">Coolant hoses, flange adapters, expansion tank</t>
  </si>
  <si>
    <t xml:space="preserve">Silicone bends + custom flanges where 07K outlets don't meet ZN6 radiator.</t>
  </si>
  <si>
    <t xml:space="preserve">C3</t>
  </si>
  <si>
    <t xml:space="preserve">Engine oil cooler + sandwich plate + lines</t>
  </si>
  <si>
    <t xml:space="preserve">Turbo + track.</t>
  </si>
  <si>
    <t xml:space="preserve">Mocal / Setrab</t>
  </si>
  <si>
    <t xml:space="preserve">C4</t>
  </si>
  <si>
    <t xml:space="preserve">Fans: stock ZN6</t>
  </si>
  <si>
    <t xml:space="preserve">Check fit against the longer engine.</t>
  </si>
  <si>
    <t xml:space="preserve">O1</t>
  </si>
  <si>
    <t xml:space="preserve">Oil pan: modified cast upper + fabricated baffled lower sump</t>
  </si>
  <si>
    <t xml:space="preserve">Trap-door baffles, pickup, -10AN turbo return. Model against the ZN6 subframe scan and print a test sump first (§14). The turbo 07K Miata died from oil starvation.</t>
  </si>
  <si>
    <t xml:space="preserve">Sheet Al + trap doors</t>
  </si>
  <si>
    <t xml:space="preserve">O2</t>
  </si>
  <si>
    <t xml:space="preserve">ALT: Boost Brothers 944 07K pan</t>
  </si>
  <si>
    <t xml:space="preserve">Only if it clears the ZN6 crossmember — measure first. Set Include = Y and O1 to N to switch.</t>
  </si>
  <si>
    <t xml:space="preserve">Boost Brothers</t>
  </si>
  <si>
    <t xml:space="preserve">O3</t>
  </si>
  <si>
    <t xml:space="preserve">Accusump</t>
  </si>
  <si>
    <t xml:space="preserve">Cheap insurance on a track car (§14).</t>
  </si>
  <si>
    <t xml:space="preserve">Canton</t>
  </si>
  <si>
    <t xml:space="preserve">G1</t>
  </si>
  <si>
    <t xml:space="preserve">Fluids, gaskets, block-offs, terminals, surprises</t>
  </si>
  <si>
    <t xml:space="preserve">G2</t>
  </si>
  <si>
    <t xml:space="preserve">Hardware: 10.9 / ARP fasteners, clamps, heat shielding / wrap</t>
  </si>
  <si>
    <t xml:space="preserve">G3</t>
  </si>
  <si>
    <t xml:space="preserve">Brake booster vacuum: check valve + line from intake manifold</t>
  </si>
  <si>
    <t xml:space="preserve">Vacuum pump is deleted (E4).</t>
  </si>
  <si>
    <t xml:space="preserve">G4</t>
  </si>
  <si>
    <t xml:space="preserve">A/C: keep (07K compressor + custom lines) or delete</t>
  </si>
  <si>
    <t xml:space="preserve">Decision pending. $0 = delete.</t>
  </si>
  <si>
    <t xml:space="preserve">G5</t>
  </si>
  <si>
    <t xml:space="preserve">3D-printing filament for test parts</t>
  </si>
  <si>
    <t xml:space="preserve">Plates, sump, flanges, brackets.</t>
  </si>
  <si>
    <t xml:space="preserve">R1</t>
  </si>
  <si>
    <t xml:space="preserve">Engine run stand (fabricated) + test radiator / fuel supply</t>
  </si>
  <si>
    <t xml:space="preserve">Run the 07K on the stock ECU first, then yours (§8).</t>
  </si>
  <si>
    <t xml:space="preserve">Steel</t>
  </si>
  <si>
    <t xml:space="preserve">R2</t>
  </si>
  <si>
    <t xml:space="preserve">07K engine stand mount</t>
  </si>
  <si>
    <t xml:space="preserve">S&amp;P Automotive</t>
  </si>
  <si>
    <t xml:space="preserve">R3</t>
  </si>
  <si>
    <t xml:space="preserve">Engine hoist + load leveler</t>
  </si>
  <si>
    <t xml:space="preserve">Skip if you can borrow / shop has one.</t>
  </si>
  <si>
    <t xml:space="preserve">Princess Auto</t>
  </si>
  <si>
    <t xml:space="preserve">R4</t>
  </si>
  <si>
    <t xml:space="preserve">Engine stand</t>
  </si>
  <si>
    <t xml:space="preserve">Skip if borrowed.</t>
  </si>
  <si>
    <t xml:space="preserve">Z1</t>
  </si>
  <si>
    <t xml:space="preserve">Sell FA20 long block + exhaust</t>
  </si>
  <si>
    <t xml:space="preserve">Negative = money back. Off by default.</t>
  </si>
  <si>
    <t xml:space="preserve">Sell</t>
  </si>
  <si>
    <t xml:space="preserve">Marketplace</t>
  </si>
  <si>
    <t xml:space="preserve">TOTAL (CAD)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</si>
</sst>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0.0%"/>
    <numFmt numFmtId="167" formatCode="\$#,##0;&quot;($&quot;#,##0\);\-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9E1F2"/>
        <bgColor rgb="FFEDEDED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3864"/>
          <bgColor rgb="FF000000"/>
        </patternFill>
      </fill>
    </dxf>
    <dxf>
      <fill>
        <patternFill patternType="solid">
          <fgColor rgb="FFEDEDE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name val="Arial"/>
        <charset val="1"/>
        <family val="0"/>
        <color rgb="FF808080"/>
      </font>
      <fill>
        <patternFill>
          <bgColor rgb="FFEDEDED"/>
        </patternFill>
      </fill>
    </dxf>
    <dxf>
      <fill>
        <patternFill>
          <bgColor rgb="FFFFF2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46"/>
    <col collapsed="false" customWidth="true" hidden="false" outlineLevel="0" max="3" min="3" style="0" width="16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0</v>
      </c>
      <c r="B1" s="2"/>
      <c r="C1" s="2"/>
      <c r="D1" s="2"/>
    </row>
    <row r="2" customFormat="false" ht="15" hidden="false" customHeight="false" outlineLevel="0" collapsed="false">
      <c r="A2" s="3" t="s">
        <v>1</v>
      </c>
      <c r="B2" s="2"/>
      <c r="C2" s="2"/>
      <c r="D2" s="2"/>
    </row>
    <row r="3" customFormat="false" ht="15" hidden="false" customHeight="false" outlineLevel="0" collapsed="false">
      <c r="A3" s="2"/>
      <c r="B3" s="2"/>
      <c r="C3" s="2"/>
      <c r="D3" s="2"/>
    </row>
    <row r="4" customFormat="false" ht="15" hidden="false" customHeight="false" outlineLevel="0" collapsed="false">
      <c r="A4" s="4" t="s">
        <v>2</v>
      </c>
      <c r="B4" s="2"/>
      <c r="C4" s="2"/>
      <c r="D4" s="2"/>
    </row>
    <row r="5" customFormat="false" ht="15" hidden="false" customHeight="false" outlineLevel="0" collapsed="false">
      <c r="A5" s="2"/>
      <c r="B5" s="4" t="s">
        <v>3</v>
      </c>
      <c r="C5" s="4" t="s">
        <v>4</v>
      </c>
      <c r="D5" s="4" t="s">
        <v>5</v>
      </c>
    </row>
    <row r="6" customFormat="false" ht="15" hidden="false" customHeight="false" outlineLevel="0" collapsed="false">
      <c r="A6" s="2"/>
      <c r="B6" s="2" t="s">
        <v>6</v>
      </c>
      <c r="C6" s="5" t="n">
        <v>1</v>
      </c>
      <c r="D6" s="2" t="s">
        <v>7</v>
      </c>
    </row>
    <row r="7" customFormat="false" ht="15" hidden="false" customHeight="false" outlineLevel="0" collapsed="false">
      <c r="A7" s="2"/>
      <c r="B7" s="2" t="s">
        <v>8</v>
      </c>
      <c r="C7" s="6" t="n">
        <v>1.42</v>
      </c>
      <c r="D7" s="2" t="s">
        <v>9</v>
      </c>
    </row>
    <row r="8" customFormat="false" ht="15" hidden="false" customHeight="false" outlineLevel="0" collapsed="false">
      <c r="A8" s="2"/>
      <c r="B8" s="2" t="s">
        <v>10</v>
      </c>
      <c r="C8" s="6" t="n">
        <v>1.85</v>
      </c>
      <c r="D8" s="2" t="s">
        <v>11</v>
      </c>
    </row>
    <row r="9" customFormat="false" ht="15" hidden="false" customHeight="false" outlineLevel="0" collapsed="false">
      <c r="A9" s="2"/>
      <c r="B9" s="2"/>
      <c r="C9" s="2"/>
      <c r="D9" s="2"/>
    </row>
    <row r="10" customFormat="false" ht="15" hidden="false" customHeight="false" outlineLevel="0" collapsed="false">
      <c r="A10" s="2"/>
      <c r="B10" s="2" t="s">
        <v>12</v>
      </c>
      <c r="C10" s="7" t="n">
        <v>0.25</v>
      </c>
      <c r="D10" s="2" t="s">
        <v>13</v>
      </c>
    </row>
    <row r="11" customFormat="false" ht="15" hidden="false" customHeight="false" outlineLevel="0" collapsed="false">
      <c r="A11" s="2"/>
      <c r="B11" s="2"/>
      <c r="C11" s="2"/>
      <c r="D11" s="2"/>
    </row>
    <row r="12" customFormat="false" ht="15" hidden="false" customHeight="false" outlineLevel="0" collapsed="false">
      <c r="A12" s="4" t="s">
        <v>14</v>
      </c>
      <c r="B12" s="2"/>
      <c r="C12" s="2"/>
      <c r="D12" s="2"/>
    </row>
    <row r="13" customFormat="false" ht="15" hidden="false" customHeight="false" outlineLevel="0" collapsed="false">
      <c r="A13" s="2"/>
      <c r="B13" s="4" t="s">
        <v>15</v>
      </c>
      <c r="C13" s="4" t="s">
        <v>16</v>
      </c>
      <c r="D13" s="4" t="s">
        <v>17</v>
      </c>
    </row>
    <row r="14" customFormat="false" ht="15" hidden="false" customHeight="false" outlineLevel="0" collapsed="false">
      <c r="A14" s="2"/>
      <c r="B14" s="2" t="s">
        <v>18</v>
      </c>
      <c r="C14" s="8" t="n">
        <f aca="false">SUMIFS(BOM!$L$5:$L$73,BOM!$B$5:$B$73,$B14)</f>
        <v>11997</v>
      </c>
      <c r="D14" s="8" t="n">
        <f aca="false">SUMIFS(BOM!$M$5:$M$73,BOM!$B$5:$B$73,$B14)</f>
        <v>22846</v>
      </c>
    </row>
    <row r="15" customFormat="false" ht="15" hidden="false" customHeight="false" outlineLevel="0" collapsed="false">
      <c r="A15" s="2"/>
      <c r="B15" s="2" t="s">
        <v>19</v>
      </c>
      <c r="C15" s="8" t="n">
        <f aca="false">SUMIFS(BOM!$L$5:$L$73,BOM!$B$5:$B$73,$B15)</f>
        <v>795.2</v>
      </c>
      <c r="D15" s="8" t="n">
        <f aca="false">SUMIFS(BOM!$M$5:$M$73,BOM!$B$5:$B$73,$B15)</f>
        <v>2044.8</v>
      </c>
    </row>
    <row r="16" customFormat="false" ht="15" hidden="false" customHeight="false" outlineLevel="0" collapsed="false">
      <c r="A16" s="2"/>
      <c r="B16" s="2" t="s">
        <v>20</v>
      </c>
      <c r="C16" s="8" t="n">
        <f aca="false">SUMIFS(BOM!$L$5:$L$73,BOM!$B$5:$B$73,$B16)</f>
        <v>1825.5</v>
      </c>
      <c r="D16" s="8" t="n">
        <f aca="false">SUMIFS(BOM!$M$5:$M$73,BOM!$B$5:$B$73,$B16)</f>
        <v>3842.6</v>
      </c>
    </row>
    <row r="17" customFormat="false" ht="15" hidden="false" customHeight="false" outlineLevel="0" collapsed="false">
      <c r="A17" s="2"/>
      <c r="B17" s="2" t="s">
        <v>21</v>
      </c>
      <c r="C17" s="8" t="n">
        <f aca="false">SUMIFS(BOM!$L$5:$L$73,BOM!$B$5:$B$73,$B17)</f>
        <v>710</v>
      </c>
      <c r="D17" s="8" t="n">
        <f aca="false">SUMIFS(BOM!$M$5:$M$73,BOM!$B$5:$B$73,$B17)</f>
        <v>1278</v>
      </c>
    </row>
    <row r="18" customFormat="false" ht="15" hidden="false" customHeight="false" outlineLevel="0" collapsed="false">
      <c r="A18" s="2"/>
      <c r="B18" s="2" t="s">
        <v>22</v>
      </c>
      <c r="C18" s="8" t="n">
        <f aca="false">SUMIFS(BOM!$L$5:$L$73,BOM!$B$5:$B$73,$B18)</f>
        <v>150</v>
      </c>
      <c r="D18" s="8" t="n">
        <f aca="false">SUMIFS(BOM!$M$5:$M$73,BOM!$B$5:$B$73,$B18)</f>
        <v>350</v>
      </c>
    </row>
    <row r="19" customFormat="false" ht="15" hidden="false" customHeight="false" outlineLevel="0" collapsed="false">
      <c r="A19" s="2"/>
      <c r="B19" s="2" t="s">
        <v>23</v>
      </c>
      <c r="C19" s="8" t="n">
        <f aca="false">SUMIFS(BOM!$L$5:$L$73,BOM!$B$5:$B$73,$B19)</f>
        <v>0</v>
      </c>
      <c r="D19" s="8" t="n">
        <f aca="false">SUMIFS(BOM!$M$5:$M$73,BOM!$B$5:$B$73,$B19)</f>
        <v>0</v>
      </c>
    </row>
    <row r="20" customFormat="false" ht="15" hidden="false" customHeight="false" outlineLevel="0" collapsed="false">
      <c r="A20" s="2"/>
      <c r="B20" s="2" t="s">
        <v>24</v>
      </c>
      <c r="C20" s="8" t="n">
        <f aca="false">SUMIFS(BOM!$L$5:$L$73,BOM!$B$5:$B$73,$B20)</f>
        <v>3124</v>
      </c>
      <c r="D20" s="8" t="n">
        <f aca="false">SUMIFS(BOM!$M$5:$M$73,BOM!$B$5:$B$73,$B20)</f>
        <v>4615</v>
      </c>
    </row>
    <row r="21" customFormat="false" ht="15" hidden="false" customHeight="false" outlineLevel="0" collapsed="false">
      <c r="A21" s="2"/>
      <c r="B21" s="2" t="s">
        <v>25</v>
      </c>
      <c r="C21" s="8" t="n">
        <f aca="false">SUMIFS(BOM!$L$5:$L$73,BOM!$B$5:$B$73,$B21)</f>
        <v>482.8</v>
      </c>
      <c r="D21" s="8" t="n">
        <f aca="false">SUMIFS(BOM!$M$5:$M$73,BOM!$B$5:$B$73,$B21)</f>
        <v>1136</v>
      </c>
    </row>
    <row r="22" customFormat="false" ht="15" hidden="false" customHeight="false" outlineLevel="0" collapsed="false">
      <c r="A22" s="2"/>
      <c r="B22" s="2" t="s">
        <v>26</v>
      </c>
      <c r="C22" s="8" t="n">
        <f aca="false">SUMIFS(BOM!$L$5:$L$73,BOM!$B$5:$B$73,$B22)</f>
        <v>568</v>
      </c>
      <c r="D22" s="8" t="n">
        <f aca="false">SUMIFS(BOM!$M$5:$M$73,BOM!$B$5:$B$73,$B22)</f>
        <v>994</v>
      </c>
    </row>
    <row r="23" customFormat="false" ht="15" hidden="false" customHeight="false" outlineLevel="0" collapsed="false">
      <c r="A23" s="2"/>
      <c r="B23" s="2" t="s">
        <v>27</v>
      </c>
      <c r="C23" s="8" t="n">
        <f aca="false">SUMIFS(BOM!$L$5:$L$73,BOM!$B$5:$B$73,$B23)</f>
        <v>426</v>
      </c>
      <c r="D23" s="8" t="n">
        <f aca="false">SUMIFS(BOM!$M$5:$M$73,BOM!$B$5:$B$73,$B23)</f>
        <v>923</v>
      </c>
    </row>
    <row r="24" customFormat="false" ht="15" hidden="false" customHeight="false" outlineLevel="0" collapsed="false">
      <c r="A24" s="2"/>
      <c r="B24" s="2" t="s">
        <v>28</v>
      </c>
      <c r="C24" s="8" t="n">
        <f aca="false">SUMIFS(BOM!$L$5:$L$73,BOM!$B$5:$B$73,$B24)</f>
        <v>142</v>
      </c>
      <c r="D24" s="8" t="n">
        <f aca="false">SUMIFS(BOM!$M$5:$M$73,BOM!$B$5:$B$73,$B24)</f>
        <v>1491</v>
      </c>
    </row>
    <row r="25" customFormat="false" ht="15" hidden="false" customHeight="false" outlineLevel="0" collapsed="false">
      <c r="A25" s="2"/>
      <c r="B25" s="2" t="s">
        <v>29</v>
      </c>
      <c r="C25" s="8" t="n">
        <f aca="false">SUMIFS(BOM!$L$5:$L$73,BOM!$B$5:$B$73,$B25)</f>
        <v>1065</v>
      </c>
      <c r="D25" s="8" t="n">
        <f aca="false">SUMIFS(BOM!$M$5:$M$73,BOM!$B$5:$B$73,$B25)</f>
        <v>2059</v>
      </c>
    </row>
    <row r="26" customFormat="false" ht="15" hidden="false" customHeight="false" outlineLevel="0" collapsed="false">
      <c r="A26" s="2"/>
      <c r="B26" s="2" t="s">
        <v>30</v>
      </c>
      <c r="C26" s="8" t="n">
        <f aca="false">SUMIFS(BOM!$L$5:$L$73,BOM!$B$5:$B$73,$B26)</f>
        <v>1285.1</v>
      </c>
      <c r="D26" s="8" t="n">
        <f aca="false">SUMIFS(BOM!$M$5:$M$73,BOM!$B$5:$B$73,$B26)</f>
        <v>3564.2</v>
      </c>
    </row>
    <row r="27" customFormat="false" ht="15" hidden="false" customHeight="false" outlineLevel="0" collapsed="false">
      <c r="A27" s="2"/>
      <c r="B27" s="2" t="s">
        <v>31</v>
      </c>
      <c r="C27" s="8" t="n">
        <f aca="false">SUMIFS(BOM!$L$5:$L$73,BOM!$B$5:$B$73,$B27)</f>
        <v>852</v>
      </c>
      <c r="D27" s="8" t="n">
        <f aca="false">SUMIFS(BOM!$M$5:$M$73,BOM!$B$5:$B$73,$B27)</f>
        <v>1562</v>
      </c>
    </row>
    <row r="28" customFormat="false" ht="15" hidden="false" customHeight="false" outlineLevel="0" collapsed="false">
      <c r="A28" s="2"/>
      <c r="B28" s="2" t="s">
        <v>32</v>
      </c>
      <c r="C28" s="8" t="n">
        <f aca="false">SUMIFS(BOM!$L$5:$L$73,BOM!$B$5:$B$73,$B28)</f>
        <v>568</v>
      </c>
      <c r="D28" s="8" t="n">
        <f aca="false">SUMIFS(BOM!$M$5:$M$73,BOM!$B$5:$B$73,$B28)</f>
        <v>1065</v>
      </c>
    </row>
    <row r="29" customFormat="false" ht="15" hidden="false" customHeight="false" outlineLevel="0" collapsed="false">
      <c r="A29" s="2"/>
      <c r="B29" s="2" t="s">
        <v>33</v>
      </c>
      <c r="C29" s="8" t="n">
        <f aca="false">SUMIFS(BOM!$L$5:$L$73,BOM!$B$5:$B$73,$B29)</f>
        <v>791.4</v>
      </c>
      <c r="D29" s="8" t="n">
        <f aca="false">SUMIFS(BOM!$M$5:$M$73,BOM!$B$5:$B$73,$B29)</f>
        <v>1647</v>
      </c>
    </row>
    <row r="30" customFormat="false" ht="15" hidden="false" customHeight="false" outlineLevel="0" collapsed="false">
      <c r="A30" s="2"/>
      <c r="B30" s="2" t="s">
        <v>34</v>
      </c>
      <c r="C30" s="8" t="n">
        <f aca="false">SUMIFS(BOM!$L$5:$L$73,BOM!$B$5:$B$73,$B30)</f>
        <v>285.2</v>
      </c>
      <c r="D30" s="8" t="n">
        <f aca="false">SUMIFS(BOM!$M$5:$M$73,BOM!$B$5:$B$73,$B30)</f>
        <v>670.4</v>
      </c>
    </row>
    <row r="31" customFormat="false" ht="15" hidden="false" customHeight="false" outlineLevel="0" collapsed="false">
      <c r="A31" s="2"/>
      <c r="B31" s="2" t="s">
        <v>35</v>
      </c>
      <c r="C31" s="8" t="n">
        <f aca="false">SUMIFS(BOM!$L$5:$L$73,BOM!$B$5:$B$73,$B31)</f>
        <v>0</v>
      </c>
      <c r="D31" s="8" t="n">
        <f aca="false">SUMIFS(BOM!$M$5:$M$73,BOM!$B$5:$B$73,$B31)</f>
        <v>0</v>
      </c>
    </row>
    <row r="32" customFormat="false" ht="15" hidden="false" customHeight="false" outlineLevel="0" collapsed="false">
      <c r="A32" s="2"/>
      <c r="B32" s="2"/>
      <c r="C32" s="2"/>
      <c r="D32" s="2"/>
    </row>
    <row r="33" customFormat="false" ht="15" hidden="false" customHeight="false" outlineLevel="0" collapsed="false">
      <c r="A33" s="4" t="s">
        <v>36</v>
      </c>
      <c r="B33" s="2"/>
      <c r="C33" s="2"/>
      <c r="D33" s="2"/>
    </row>
    <row r="34" customFormat="false" ht="15" hidden="false" customHeight="false" outlineLevel="0" collapsed="false">
      <c r="A34" s="2"/>
      <c r="B34" s="4" t="s">
        <v>15</v>
      </c>
      <c r="C34" s="4" t="s">
        <v>16</v>
      </c>
      <c r="D34" s="4" t="s">
        <v>17</v>
      </c>
    </row>
    <row r="35" customFormat="false" ht="15" hidden="false" customHeight="false" outlineLevel="0" collapsed="false">
      <c r="A35" s="2"/>
      <c r="B35" s="2" t="s">
        <v>37</v>
      </c>
      <c r="C35" s="8" t="n">
        <f aca="false">SUMIFS(BOM!$L$5:$L$73,BOM!$G$5:$G$73,$B35)</f>
        <v>12053.8</v>
      </c>
      <c r="D35" s="8" t="n">
        <f aca="false">SUMIFS(BOM!$M$5:$M$73,BOM!$G$5:$G$73,$B35)</f>
        <v>23016.4</v>
      </c>
    </row>
    <row r="36" customFormat="false" ht="15" hidden="false" customHeight="false" outlineLevel="0" collapsed="false">
      <c r="A36" s="2"/>
      <c r="B36" s="2" t="s">
        <v>38</v>
      </c>
      <c r="C36" s="8" t="n">
        <f aca="false">SUMIFS(BOM!$L$5:$L$73,BOM!$G$5:$G$73,$B36)</f>
        <v>945.5</v>
      </c>
      <c r="D36" s="8" t="n">
        <f aca="false">SUMIFS(BOM!$M$5:$M$73,BOM!$G$5:$G$73,$B36)</f>
        <v>1834.8</v>
      </c>
    </row>
    <row r="37" customFormat="false" ht="15" hidden="false" customHeight="false" outlineLevel="0" collapsed="false">
      <c r="A37" s="2"/>
      <c r="B37" s="2" t="s">
        <v>39</v>
      </c>
      <c r="C37" s="8" t="n">
        <f aca="false">SUMIFS(BOM!$L$5:$L$73,BOM!$G$5:$G$73,$B37)</f>
        <v>5109.9</v>
      </c>
      <c r="D37" s="8" t="n">
        <f aca="false">SUMIFS(BOM!$M$5:$M$73,BOM!$G$5:$G$73,$B37)</f>
        <v>12215.4</v>
      </c>
    </row>
    <row r="38" customFormat="false" ht="15" hidden="false" customHeight="false" outlineLevel="0" collapsed="false">
      <c r="A38" s="2"/>
      <c r="B38" s="2" t="s">
        <v>40</v>
      </c>
      <c r="C38" s="8" t="n">
        <f aca="false">SUMIFS(BOM!$L$5:$L$73,BOM!$G$5:$G$73,$B38)</f>
        <v>6872.8</v>
      </c>
      <c r="D38" s="8" t="n">
        <f aca="false">SUMIFS(BOM!$M$5:$M$73,BOM!$G$5:$G$73,$B38)</f>
        <v>12851</v>
      </c>
    </row>
    <row r="39" customFormat="false" ht="15" hidden="false" customHeight="false" outlineLevel="0" collapsed="false">
      <c r="A39" s="2"/>
      <c r="B39" s="2" t="s">
        <v>41</v>
      </c>
      <c r="C39" s="8" t="n">
        <f aca="false">SUMIFS(BOM!$L$5:$L$73,BOM!$G$5:$G$73,$B39)</f>
        <v>85.2</v>
      </c>
      <c r="D39" s="8" t="n">
        <f aca="false">SUMIFS(BOM!$M$5:$M$73,BOM!$G$5:$G$73,$B39)</f>
        <v>170.4</v>
      </c>
    </row>
    <row r="40" customFormat="false" ht="15" hidden="false" customHeight="false" outlineLevel="0" collapsed="false">
      <c r="A40" s="2"/>
      <c r="B40" s="2"/>
      <c r="C40" s="2"/>
      <c r="D40" s="2"/>
    </row>
    <row r="41" customFormat="false" ht="15" hidden="false" customHeight="false" outlineLevel="0" collapsed="false">
      <c r="A41" s="4" t="s">
        <v>42</v>
      </c>
      <c r="B41" s="2"/>
      <c r="C41" s="2"/>
      <c r="D41" s="2"/>
    </row>
    <row r="42" customFormat="false" ht="15" hidden="false" customHeight="false" outlineLevel="0" collapsed="false">
      <c r="A42" s="2"/>
      <c r="B42" s="2"/>
      <c r="C42" s="4" t="s">
        <v>16</v>
      </c>
      <c r="D42" s="4" t="s">
        <v>17</v>
      </c>
    </row>
    <row r="43" customFormat="false" ht="15" hidden="false" customHeight="false" outlineLevel="0" collapsed="false">
      <c r="A43" s="2"/>
      <c r="B43" s="2" t="s">
        <v>43</v>
      </c>
      <c r="C43" s="9" t="n">
        <f aca="false">SUMIFS(BOM!$L$5:$L$73,BOM!$A$5:$A$73,"D1")</f>
        <v>11500</v>
      </c>
      <c r="D43" s="9" t="n">
        <f aca="false">SUMIFS(BOM!$M$5:$M$73,BOM!$A$5:$A$73,"D1")</f>
        <v>21000</v>
      </c>
    </row>
    <row r="44" customFormat="false" ht="15" hidden="false" customHeight="false" outlineLevel="0" collapsed="false">
      <c r="A44" s="2"/>
      <c r="B44" s="2" t="s">
        <v>44</v>
      </c>
      <c r="C44" s="9" t="n">
        <f aca="false">SUM(BOM!$L$5:$L$73)-C43</f>
        <v>13567.2</v>
      </c>
      <c r="D44" s="9" t="n">
        <f aca="false">SUM(BOM!$M$5:$M$73)-D43</f>
        <v>29088</v>
      </c>
    </row>
    <row r="45" customFormat="false" ht="15" hidden="false" customHeight="false" outlineLevel="0" collapsed="false">
      <c r="A45" s="2"/>
      <c r="B45" s="2" t="s">
        <v>45</v>
      </c>
      <c r="C45" s="9" t="n">
        <f aca="false">C44*$C$10</f>
        <v>3391.8</v>
      </c>
      <c r="D45" s="9" t="n">
        <f aca="false">D44*$C$10</f>
        <v>7272</v>
      </c>
    </row>
    <row r="46" customFormat="false" ht="15" hidden="false" customHeight="false" outlineLevel="0" collapsed="false">
      <c r="A46" s="2"/>
      <c r="B46" s="2" t="s">
        <v>46</v>
      </c>
      <c r="C46" s="9" t="n">
        <f aca="false">C44+C45</f>
        <v>16959</v>
      </c>
      <c r="D46" s="9" t="n">
        <f aca="false">D44+D45</f>
        <v>36360</v>
      </c>
    </row>
    <row r="47" customFormat="false" ht="15" hidden="false" customHeight="false" outlineLevel="0" collapsed="false">
      <c r="A47" s="2"/>
      <c r="B47" s="10" t="s">
        <v>47</v>
      </c>
      <c r="C47" s="11" t="n">
        <f aca="false">C43+C46</f>
        <v>28459</v>
      </c>
      <c r="D47" s="11" t="n">
        <f aca="false">D43+D46</f>
        <v>57360</v>
      </c>
    </row>
    <row r="48" customFormat="false" ht="15" hidden="false" customHeight="false" outlineLevel="0" collapsed="false">
      <c r="A48" s="2"/>
      <c r="B48" s="2"/>
      <c r="C48" s="2"/>
      <c r="D48" s="2"/>
    </row>
    <row r="49" customFormat="false" ht="15" hidden="false" customHeight="false" outlineLevel="0" collapsed="false">
      <c r="A49" s="2"/>
      <c r="B49" s="2" t="s">
        <v>48</v>
      </c>
      <c r="C49" s="2" t="n">
        <f aca="false">COUNTIF(BOM!$O$5:$O$73,"To decide")</f>
        <v>5</v>
      </c>
      <c r="D49" s="2"/>
    </row>
    <row r="50" customFormat="false" ht="15" hidden="false" customHeight="false" outlineLevel="0" collapsed="false">
      <c r="A50" s="2"/>
      <c r="B50" s="2" t="s">
        <v>49</v>
      </c>
      <c r="C50" s="2" t="n">
        <f aca="false">COUNTIFS(BOM!$E$5:$E$73,"Make",BOM!$N$5:$N$73,"Y")</f>
        <v>13</v>
      </c>
      <c r="D50" s="2"/>
    </row>
    <row r="51" customFormat="false" ht="15" hidden="false" customHeight="false" outlineLevel="0" collapsed="false">
      <c r="A51" s="2"/>
      <c r="B51" s="2"/>
      <c r="C51" s="2"/>
      <c r="D51" s="2"/>
    </row>
    <row r="52" customFormat="false" ht="15" hidden="false" customHeight="false" outlineLevel="0" collapsed="false">
      <c r="A52" s="2"/>
      <c r="B52" s="4" t="s">
        <v>50</v>
      </c>
      <c r="C52" s="2"/>
      <c r="D52" s="2"/>
    </row>
    <row r="53" customFormat="false" ht="30" hidden="false" customHeight="true" outlineLevel="0" collapsed="false">
      <c r="A53" s="2"/>
      <c r="B53" s="12" t="s">
        <v>51</v>
      </c>
      <c r="C53" s="12"/>
      <c r="D53" s="12"/>
    </row>
    <row r="54" customFormat="false" ht="30" hidden="false" customHeight="true" outlineLevel="0" collapsed="false">
      <c r="A54" s="2"/>
      <c r="B54" s="12" t="s">
        <v>52</v>
      </c>
      <c r="C54" s="12"/>
      <c r="D54" s="12"/>
    </row>
    <row r="55" customFormat="false" ht="30" hidden="false" customHeight="true" outlineLevel="0" collapsed="false">
      <c r="A55" s="2"/>
      <c r="B55" s="12" t="s">
        <v>53</v>
      </c>
      <c r="C55" s="12"/>
      <c r="D55" s="12"/>
    </row>
    <row r="56" customFormat="false" ht="30" hidden="false" customHeight="true" outlineLevel="0" collapsed="false">
      <c r="A56" s="2"/>
      <c r="B56" s="12" t="s">
        <v>54</v>
      </c>
      <c r="C56" s="12"/>
      <c r="D56" s="12"/>
    </row>
  </sheetData>
  <mergeCells count="4">
    <mergeCell ref="B53:D53"/>
    <mergeCell ref="B54:D54"/>
    <mergeCell ref="B55:D55"/>
    <mergeCell ref="B56:D5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7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"/>
    <col collapsed="false" customWidth="true" hidden="false" outlineLevel="0" max="2" min="2" style="0" width="16"/>
    <col collapsed="false" customWidth="true" hidden="false" outlineLevel="0" max="3" min="3" style="0" width="38"/>
    <col collapsed="false" customWidth="true" hidden="false" outlineLevel="0" max="4" min="4" style="0" width="60"/>
    <col collapsed="false" customWidth="true" hidden="false" outlineLevel="0" max="5" min="5" style="0" width="11"/>
    <col collapsed="false" customWidth="true" hidden="false" outlineLevel="0" max="6" min="6" style="0" width="22"/>
    <col collapsed="false" customWidth="true" hidden="false" outlineLevel="0" max="7" min="7" style="0" width="13"/>
    <col collapsed="false" customWidth="true" hidden="false" outlineLevel="0" max="9" min="8" style="0" width="6"/>
    <col collapsed="false" customWidth="true" hidden="false" outlineLevel="0" max="11" min="10" style="0" width="11"/>
    <col collapsed="false" customWidth="true" hidden="false" outlineLevel="0" max="13" min="12" style="0" width="13"/>
    <col collapsed="false" customWidth="true" hidden="false" outlineLevel="0" max="14" min="14" style="0" width="9"/>
    <col collapsed="false" customWidth="true" hidden="false" outlineLevel="0" max="15" min="15" style="0" width="11"/>
    <col collapsed="false" customWidth="true" hidden="false" outlineLevel="0" max="16" min="16" style="0" width="10"/>
  </cols>
  <sheetData>
    <row r="1" customFormat="false" ht="17.35" hidden="false" customHeight="false" outlineLevel="0" collapsed="false">
      <c r="A1" s="13" t="s">
        <v>55</v>
      </c>
    </row>
    <row r="2" customFormat="false" ht="15" hidden="false" customHeight="false" outlineLevel="0" collapsed="false">
      <c r="A2" s="3" t="s">
        <v>56</v>
      </c>
    </row>
    <row r="4" customFormat="false" ht="30" hidden="false" customHeight="true" outlineLevel="0" collapsed="false">
      <c r="A4" s="14" t="s">
        <v>57</v>
      </c>
      <c r="B4" s="14" t="s">
        <v>58</v>
      </c>
      <c r="C4" s="14" t="s">
        <v>59</v>
      </c>
      <c r="D4" s="14" t="s">
        <v>60</v>
      </c>
      <c r="E4" s="14" t="s">
        <v>61</v>
      </c>
      <c r="F4" s="14" t="s">
        <v>62</v>
      </c>
      <c r="G4" s="14" t="s">
        <v>63</v>
      </c>
      <c r="H4" s="14" t="s">
        <v>64</v>
      </c>
      <c r="I4" s="14" t="s">
        <v>65</v>
      </c>
      <c r="J4" s="14" t="s">
        <v>66</v>
      </c>
      <c r="K4" s="14" t="s">
        <v>67</v>
      </c>
      <c r="L4" s="14" t="s">
        <v>68</v>
      </c>
      <c r="M4" s="14" t="s">
        <v>69</v>
      </c>
      <c r="N4" s="14" t="s">
        <v>70</v>
      </c>
      <c r="O4" s="14" t="s">
        <v>71</v>
      </c>
      <c r="P4" s="14" t="s">
        <v>72</v>
      </c>
    </row>
    <row r="5" customFormat="false" ht="23.85" hidden="false" customHeight="false" outlineLevel="0" collapsed="false">
      <c r="A5" s="15" t="s">
        <v>73</v>
      </c>
      <c r="B5" s="16" t="s">
        <v>18</v>
      </c>
      <c r="C5" s="17" t="s">
        <v>74</v>
      </c>
      <c r="D5" s="17" t="s">
        <v>75</v>
      </c>
      <c r="E5" s="15" t="s">
        <v>76</v>
      </c>
      <c r="F5" s="17" t="s">
        <v>77</v>
      </c>
      <c r="G5" s="18" t="s">
        <v>37</v>
      </c>
      <c r="H5" s="19" t="n">
        <v>1</v>
      </c>
      <c r="I5" s="19" t="s">
        <v>6</v>
      </c>
      <c r="J5" s="20" t="n">
        <v>11500</v>
      </c>
      <c r="K5" s="20" t="n">
        <v>21000</v>
      </c>
      <c r="L5" s="21" t="n">
        <f aca="false">IF($N5="Y",$H5*$J5*INDEX(Summary!$C$6:$C$8,MATCH($I5,Summary!$B$6:$B$8,0)),0)</f>
        <v>11500</v>
      </c>
      <c r="M5" s="21" t="n">
        <f aca="false">IF($N5="Y",$H5*$K5*INDEX(Summary!$C$6:$C$8,MATCH($I5,Summary!$B$6:$B$8,0)),0)</f>
        <v>21000</v>
      </c>
      <c r="N5" s="19" t="s">
        <v>78</v>
      </c>
      <c r="O5" s="19" t="s">
        <v>79</v>
      </c>
      <c r="P5" s="15" t="s">
        <v>50</v>
      </c>
    </row>
    <row r="6" customFormat="false" ht="23.85" hidden="false" customHeight="false" outlineLevel="0" collapsed="false">
      <c r="A6" s="15" t="s">
        <v>80</v>
      </c>
      <c r="B6" s="16" t="s">
        <v>18</v>
      </c>
      <c r="C6" s="17" t="s">
        <v>81</v>
      </c>
      <c r="D6" s="17" t="s">
        <v>82</v>
      </c>
      <c r="E6" s="15" t="s">
        <v>76</v>
      </c>
      <c r="F6" s="17" t="s">
        <v>83</v>
      </c>
      <c r="G6" s="18" t="s">
        <v>37</v>
      </c>
      <c r="H6" s="19" t="n">
        <v>1</v>
      </c>
      <c r="I6" s="19" t="s">
        <v>8</v>
      </c>
      <c r="J6" s="20" t="n">
        <v>300</v>
      </c>
      <c r="K6" s="20" t="n">
        <v>1150</v>
      </c>
      <c r="L6" s="21" t="n">
        <f aca="false">IF($N6="Y",$H6*$J6*INDEX(Summary!$C$6:$C$8,MATCH($I6,Summary!$B$6:$B$8,0)),0)</f>
        <v>426</v>
      </c>
      <c r="M6" s="21" t="n">
        <f aca="false">IF($N6="Y",$H6*$K6*INDEX(Summary!$C$6:$C$8,MATCH($I6,Summary!$B$6:$B$8,0)),0)</f>
        <v>1633</v>
      </c>
      <c r="N6" s="19" t="s">
        <v>78</v>
      </c>
      <c r="O6" s="19" t="s">
        <v>79</v>
      </c>
      <c r="P6" s="15" t="s">
        <v>50</v>
      </c>
    </row>
    <row r="7" customFormat="false" ht="15" hidden="false" customHeight="false" outlineLevel="0" collapsed="false">
      <c r="A7" s="15" t="s">
        <v>84</v>
      </c>
      <c r="B7" s="16" t="s">
        <v>18</v>
      </c>
      <c r="C7" s="17" t="s">
        <v>85</v>
      </c>
      <c r="D7" s="17" t="s">
        <v>86</v>
      </c>
      <c r="E7" s="15" t="s">
        <v>76</v>
      </c>
      <c r="F7" s="17" t="s">
        <v>87</v>
      </c>
      <c r="G7" s="18" t="s">
        <v>37</v>
      </c>
      <c r="H7" s="19" t="n">
        <v>1</v>
      </c>
      <c r="I7" s="19" t="s">
        <v>8</v>
      </c>
      <c r="J7" s="20" t="n">
        <v>50</v>
      </c>
      <c r="K7" s="20" t="n">
        <v>150</v>
      </c>
      <c r="L7" s="21" t="n">
        <f aca="false">IF($N7="Y",$H7*$J7*INDEX(Summary!$C$6:$C$8,MATCH($I7,Summary!$B$6:$B$8,0)),0)</f>
        <v>71</v>
      </c>
      <c r="M7" s="21" t="n">
        <f aca="false">IF($N7="Y",$H7*$K7*INDEX(Summary!$C$6:$C$8,MATCH($I7,Summary!$B$6:$B$8,0)),0)</f>
        <v>213</v>
      </c>
      <c r="N7" s="19" t="s">
        <v>78</v>
      </c>
      <c r="O7" s="19" t="s">
        <v>79</v>
      </c>
      <c r="P7" s="15" t="s">
        <v>88</v>
      </c>
    </row>
    <row r="8" customFormat="false" ht="23.85" hidden="false" customHeight="false" outlineLevel="0" collapsed="false">
      <c r="A8" s="15" t="s">
        <v>89</v>
      </c>
      <c r="B8" s="16" t="s">
        <v>18</v>
      </c>
      <c r="C8" s="17" t="s">
        <v>90</v>
      </c>
      <c r="D8" s="17" t="s">
        <v>91</v>
      </c>
      <c r="E8" s="15" t="s">
        <v>76</v>
      </c>
      <c r="F8" s="17" t="s">
        <v>92</v>
      </c>
      <c r="G8" s="18" t="s">
        <v>37</v>
      </c>
      <c r="H8" s="19" t="n">
        <v>1</v>
      </c>
      <c r="I8" s="19" t="s">
        <v>8</v>
      </c>
      <c r="J8" s="20" t="n">
        <v>100</v>
      </c>
      <c r="K8" s="20" t="n">
        <v>300</v>
      </c>
      <c r="L8" s="21" t="n">
        <f aca="false">IF($N8="Y",$H8*$J8*INDEX(Summary!$C$6:$C$8,MATCH($I8,Summary!$B$6:$B$8,0)),0)</f>
        <v>0</v>
      </c>
      <c r="M8" s="21" t="n">
        <f aca="false">IF($N8="Y",$H8*$K8*INDEX(Summary!$C$6:$C$8,MATCH($I8,Summary!$B$6:$B$8,0)),0)</f>
        <v>0</v>
      </c>
      <c r="N8" s="19" t="s">
        <v>93</v>
      </c>
      <c r="O8" s="19" t="s">
        <v>94</v>
      </c>
      <c r="P8" s="15" t="s">
        <v>88</v>
      </c>
    </row>
    <row r="9" customFormat="false" ht="15" hidden="false" customHeight="false" outlineLevel="0" collapsed="false">
      <c r="A9" s="15" t="s">
        <v>95</v>
      </c>
      <c r="B9" s="16" t="s">
        <v>19</v>
      </c>
      <c r="C9" s="17" t="s">
        <v>96</v>
      </c>
      <c r="D9" s="17" t="s">
        <v>97</v>
      </c>
      <c r="E9" s="15" t="s">
        <v>76</v>
      </c>
      <c r="F9" s="17" t="s">
        <v>98</v>
      </c>
      <c r="G9" s="18" t="s">
        <v>39</v>
      </c>
      <c r="H9" s="19" t="n">
        <v>1</v>
      </c>
      <c r="I9" s="19" t="s">
        <v>8</v>
      </c>
      <c r="J9" s="20" t="n">
        <v>150</v>
      </c>
      <c r="K9" s="20" t="n">
        <v>300</v>
      </c>
      <c r="L9" s="21" t="n">
        <f aca="false">IF($N9="Y",$H9*$J9*INDEX(Summary!$C$6:$C$8,MATCH($I9,Summary!$B$6:$B$8,0)),0)</f>
        <v>213</v>
      </c>
      <c r="M9" s="21" t="n">
        <f aca="false">IF($N9="Y",$H9*$K9*INDEX(Summary!$C$6:$C$8,MATCH($I9,Summary!$B$6:$B$8,0)),0)</f>
        <v>426</v>
      </c>
      <c r="N9" s="19" t="s">
        <v>78</v>
      </c>
      <c r="O9" s="19" t="s">
        <v>79</v>
      </c>
      <c r="P9" s="15" t="s">
        <v>88</v>
      </c>
    </row>
    <row r="10" customFormat="false" ht="15" hidden="false" customHeight="false" outlineLevel="0" collapsed="false">
      <c r="A10" s="15" t="s">
        <v>99</v>
      </c>
      <c r="B10" s="16" t="s">
        <v>19</v>
      </c>
      <c r="C10" s="17" t="s">
        <v>100</v>
      </c>
      <c r="D10" s="17" t="s">
        <v>101</v>
      </c>
      <c r="E10" s="15" t="s">
        <v>76</v>
      </c>
      <c r="F10" s="17" t="s">
        <v>102</v>
      </c>
      <c r="G10" s="18" t="s">
        <v>39</v>
      </c>
      <c r="H10" s="19" t="n">
        <v>1</v>
      </c>
      <c r="I10" s="19" t="s">
        <v>8</v>
      </c>
      <c r="J10" s="20" t="n">
        <v>100</v>
      </c>
      <c r="K10" s="20" t="n">
        <v>200</v>
      </c>
      <c r="L10" s="21" t="n">
        <f aca="false">IF($N10="Y",$H10*$J10*INDEX(Summary!$C$6:$C$8,MATCH($I10,Summary!$B$6:$B$8,0)),0)</f>
        <v>142</v>
      </c>
      <c r="M10" s="21" t="n">
        <f aca="false">IF($N10="Y",$H10*$K10*INDEX(Summary!$C$6:$C$8,MATCH($I10,Summary!$B$6:$B$8,0)),0)</f>
        <v>284</v>
      </c>
      <c r="N10" s="19" t="s">
        <v>78</v>
      </c>
      <c r="O10" s="19" t="s">
        <v>79</v>
      </c>
      <c r="P10" s="15" t="s">
        <v>88</v>
      </c>
    </row>
    <row r="11" customFormat="false" ht="23.85" hidden="false" customHeight="false" outlineLevel="0" collapsed="false">
      <c r="A11" s="15" t="s">
        <v>103</v>
      </c>
      <c r="B11" s="16" t="s">
        <v>19</v>
      </c>
      <c r="C11" s="17" t="s">
        <v>104</v>
      </c>
      <c r="D11" s="17" t="s">
        <v>105</v>
      </c>
      <c r="E11" s="15" t="s">
        <v>76</v>
      </c>
      <c r="F11" s="17" t="s">
        <v>102</v>
      </c>
      <c r="G11" s="18" t="s">
        <v>39</v>
      </c>
      <c r="H11" s="19" t="n">
        <v>1</v>
      </c>
      <c r="I11" s="19" t="s">
        <v>8</v>
      </c>
      <c r="J11" s="20" t="n">
        <v>0</v>
      </c>
      <c r="K11" s="20" t="n">
        <v>400</v>
      </c>
      <c r="L11" s="21" t="n">
        <f aca="false">IF($N11="Y",$H11*$J11*INDEX(Summary!$C$6:$C$8,MATCH($I11,Summary!$B$6:$B$8,0)),0)</f>
        <v>0</v>
      </c>
      <c r="M11" s="21" t="n">
        <f aca="false">IF($N11="Y",$H11*$K11*INDEX(Summary!$C$6:$C$8,MATCH($I11,Summary!$B$6:$B$8,0)),0)</f>
        <v>568</v>
      </c>
      <c r="N11" s="19" t="s">
        <v>78</v>
      </c>
      <c r="O11" s="19" t="s">
        <v>106</v>
      </c>
      <c r="P11" s="15" t="s">
        <v>88</v>
      </c>
    </row>
    <row r="12" customFormat="false" ht="23.85" hidden="false" customHeight="false" outlineLevel="0" collapsed="false">
      <c r="A12" s="15" t="s">
        <v>107</v>
      </c>
      <c r="B12" s="16" t="s">
        <v>19</v>
      </c>
      <c r="C12" s="17" t="s">
        <v>108</v>
      </c>
      <c r="D12" s="17" t="s">
        <v>109</v>
      </c>
      <c r="E12" s="15" t="s">
        <v>76</v>
      </c>
      <c r="F12" s="17" t="s">
        <v>110</v>
      </c>
      <c r="G12" s="18" t="s">
        <v>39</v>
      </c>
      <c r="H12" s="19" t="n">
        <v>1</v>
      </c>
      <c r="I12" s="19" t="s">
        <v>8</v>
      </c>
      <c r="J12" s="20" t="n">
        <v>40</v>
      </c>
      <c r="K12" s="20" t="n">
        <v>80</v>
      </c>
      <c r="L12" s="21" t="n">
        <f aca="false">IF($N12="Y",$H12*$J12*INDEX(Summary!$C$6:$C$8,MATCH($I12,Summary!$B$6:$B$8,0)),0)</f>
        <v>56.8</v>
      </c>
      <c r="M12" s="21" t="n">
        <f aca="false">IF($N12="Y",$H12*$K12*INDEX(Summary!$C$6:$C$8,MATCH($I12,Summary!$B$6:$B$8,0)),0)</f>
        <v>113.6</v>
      </c>
      <c r="N12" s="19" t="s">
        <v>78</v>
      </c>
      <c r="O12" s="19" t="s">
        <v>79</v>
      </c>
      <c r="P12" s="15" t="s">
        <v>88</v>
      </c>
    </row>
    <row r="13" customFormat="false" ht="15" hidden="false" customHeight="false" outlineLevel="0" collapsed="false">
      <c r="A13" s="15" t="s">
        <v>111</v>
      </c>
      <c r="B13" s="16" t="s">
        <v>19</v>
      </c>
      <c r="C13" s="17" t="s">
        <v>112</v>
      </c>
      <c r="D13" s="17" t="s">
        <v>113</v>
      </c>
      <c r="E13" s="15" t="s">
        <v>76</v>
      </c>
      <c r="F13" s="17" t="s">
        <v>114</v>
      </c>
      <c r="G13" s="18" t="s">
        <v>39</v>
      </c>
      <c r="H13" s="19" t="n">
        <v>1</v>
      </c>
      <c r="I13" s="19" t="s">
        <v>8</v>
      </c>
      <c r="J13" s="20" t="n">
        <v>20</v>
      </c>
      <c r="K13" s="20" t="n">
        <v>60</v>
      </c>
      <c r="L13" s="21" t="n">
        <f aca="false">IF($N13="Y",$H13*$J13*INDEX(Summary!$C$6:$C$8,MATCH($I13,Summary!$B$6:$B$8,0)),0)</f>
        <v>28.4</v>
      </c>
      <c r="M13" s="21" t="n">
        <f aca="false">IF($N13="Y",$H13*$K13*INDEX(Summary!$C$6:$C$8,MATCH($I13,Summary!$B$6:$B$8,0)),0)</f>
        <v>85.2</v>
      </c>
      <c r="N13" s="19" t="s">
        <v>78</v>
      </c>
      <c r="O13" s="19" t="s">
        <v>79</v>
      </c>
      <c r="P13" s="15" t="s">
        <v>88</v>
      </c>
    </row>
    <row r="14" customFormat="false" ht="15" hidden="false" customHeight="false" outlineLevel="0" collapsed="false">
      <c r="A14" s="15" t="s">
        <v>115</v>
      </c>
      <c r="B14" s="16" t="s">
        <v>19</v>
      </c>
      <c r="C14" s="17" t="s">
        <v>116</v>
      </c>
      <c r="D14" s="17" t="s">
        <v>117</v>
      </c>
      <c r="E14" s="15" t="s">
        <v>76</v>
      </c>
      <c r="F14" s="17" t="s">
        <v>118</v>
      </c>
      <c r="G14" s="18" t="s">
        <v>40</v>
      </c>
      <c r="H14" s="19" t="n">
        <v>1</v>
      </c>
      <c r="I14" s="19" t="s">
        <v>8</v>
      </c>
      <c r="J14" s="20" t="n">
        <v>250</v>
      </c>
      <c r="K14" s="20" t="n">
        <v>400</v>
      </c>
      <c r="L14" s="21" t="n">
        <f aca="false">IF($N14="Y",$H14*$J14*INDEX(Summary!$C$6:$C$8,MATCH($I14,Summary!$B$6:$B$8,0)),0)</f>
        <v>355</v>
      </c>
      <c r="M14" s="21" t="n">
        <f aca="false">IF($N14="Y",$H14*$K14*INDEX(Summary!$C$6:$C$8,MATCH($I14,Summary!$B$6:$B$8,0)),0)</f>
        <v>568</v>
      </c>
      <c r="N14" s="19" t="s">
        <v>78</v>
      </c>
      <c r="O14" s="19" t="s">
        <v>79</v>
      </c>
      <c r="P14" s="15" t="s">
        <v>88</v>
      </c>
    </row>
    <row r="15" customFormat="false" ht="23.85" hidden="false" customHeight="false" outlineLevel="0" collapsed="false">
      <c r="A15" s="15" t="s">
        <v>119</v>
      </c>
      <c r="B15" s="16" t="s">
        <v>20</v>
      </c>
      <c r="C15" s="17" t="s">
        <v>120</v>
      </c>
      <c r="D15" s="17" t="s">
        <v>121</v>
      </c>
      <c r="E15" s="15" t="s">
        <v>122</v>
      </c>
      <c r="F15" s="17" t="s">
        <v>123</v>
      </c>
      <c r="G15" s="18" t="s">
        <v>39</v>
      </c>
      <c r="H15" s="19" t="n">
        <v>1</v>
      </c>
      <c r="I15" s="19" t="s">
        <v>6</v>
      </c>
      <c r="J15" s="20" t="n">
        <v>200</v>
      </c>
      <c r="K15" s="20" t="n">
        <v>500</v>
      </c>
      <c r="L15" s="21" t="n">
        <f aca="false">IF($N15="Y",$H15*$J15*INDEX(Summary!$C$6:$C$8,MATCH($I15,Summary!$B$6:$B$8,0)),0)</f>
        <v>200</v>
      </c>
      <c r="M15" s="21" t="n">
        <f aca="false">IF($N15="Y",$H15*$K15*INDEX(Summary!$C$6:$C$8,MATCH($I15,Summary!$B$6:$B$8,0)),0)</f>
        <v>500</v>
      </c>
      <c r="N15" s="19" t="s">
        <v>78</v>
      </c>
      <c r="O15" s="19" t="s">
        <v>79</v>
      </c>
      <c r="P15" s="15" t="s">
        <v>88</v>
      </c>
    </row>
    <row r="16" customFormat="false" ht="15" hidden="false" customHeight="false" outlineLevel="0" collapsed="false">
      <c r="A16" s="15" t="s">
        <v>124</v>
      </c>
      <c r="B16" s="16" t="s">
        <v>20</v>
      </c>
      <c r="C16" s="17" t="s">
        <v>125</v>
      </c>
      <c r="D16" s="17" t="s">
        <v>126</v>
      </c>
      <c r="E16" s="15" t="s">
        <v>122</v>
      </c>
      <c r="F16" s="17" t="s">
        <v>127</v>
      </c>
      <c r="G16" s="18" t="s">
        <v>39</v>
      </c>
      <c r="H16" s="19" t="n">
        <v>1</v>
      </c>
      <c r="I16" s="19" t="s">
        <v>6</v>
      </c>
      <c r="J16" s="20" t="n">
        <v>20</v>
      </c>
      <c r="K16" s="20" t="n">
        <v>50</v>
      </c>
      <c r="L16" s="21" t="n">
        <f aca="false">IF($N16="Y",$H16*$J16*INDEX(Summary!$C$6:$C$8,MATCH($I16,Summary!$B$6:$B$8,0)),0)</f>
        <v>20</v>
      </c>
      <c r="M16" s="21" t="n">
        <f aca="false">IF($N16="Y",$H16*$K16*INDEX(Summary!$C$6:$C$8,MATCH($I16,Summary!$B$6:$B$8,0)),0)</f>
        <v>50</v>
      </c>
      <c r="N16" s="19" t="s">
        <v>78</v>
      </c>
      <c r="O16" s="19" t="s">
        <v>79</v>
      </c>
      <c r="P16" s="15" t="s">
        <v>88</v>
      </c>
    </row>
    <row r="17" customFormat="false" ht="15" hidden="false" customHeight="false" outlineLevel="0" collapsed="false">
      <c r="A17" s="15" t="s">
        <v>128</v>
      </c>
      <c r="B17" s="16" t="s">
        <v>20</v>
      </c>
      <c r="C17" s="17" t="s">
        <v>129</v>
      </c>
      <c r="D17" s="17" t="s">
        <v>130</v>
      </c>
      <c r="E17" s="15" t="s">
        <v>76</v>
      </c>
      <c r="F17" s="17" t="s">
        <v>131</v>
      </c>
      <c r="G17" s="18" t="s">
        <v>39</v>
      </c>
      <c r="H17" s="19" t="n">
        <v>1</v>
      </c>
      <c r="I17" s="19" t="s">
        <v>8</v>
      </c>
      <c r="J17" s="20" t="n">
        <v>60</v>
      </c>
      <c r="K17" s="20" t="n">
        <v>150</v>
      </c>
      <c r="L17" s="21" t="n">
        <f aca="false">IF($N17="Y",$H17*$J17*INDEX(Summary!$C$6:$C$8,MATCH($I17,Summary!$B$6:$B$8,0)),0)</f>
        <v>85.2</v>
      </c>
      <c r="M17" s="21" t="n">
        <f aca="false">IF($N17="Y",$H17*$K17*INDEX(Summary!$C$6:$C$8,MATCH($I17,Summary!$B$6:$B$8,0)),0)</f>
        <v>213</v>
      </c>
      <c r="N17" s="19" t="s">
        <v>78</v>
      </c>
      <c r="O17" s="19" t="s">
        <v>79</v>
      </c>
      <c r="P17" s="15" t="s">
        <v>88</v>
      </c>
    </row>
    <row r="18" customFormat="false" ht="35.05" hidden="false" customHeight="false" outlineLevel="0" collapsed="false">
      <c r="A18" s="15" t="s">
        <v>132</v>
      </c>
      <c r="B18" s="16" t="s">
        <v>20</v>
      </c>
      <c r="C18" s="17" t="s">
        <v>133</v>
      </c>
      <c r="D18" s="17" t="s">
        <v>134</v>
      </c>
      <c r="E18" s="15" t="s">
        <v>76</v>
      </c>
      <c r="F18" s="17" t="s">
        <v>135</v>
      </c>
      <c r="G18" s="18" t="s">
        <v>39</v>
      </c>
      <c r="H18" s="19" t="n">
        <v>1</v>
      </c>
      <c r="I18" s="19" t="s">
        <v>8</v>
      </c>
      <c r="J18" s="20" t="n">
        <v>250</v>
      </c>
      <c r="K18" s="20" t="n">
        <v>450</v>
      </c>
      <c r="L18" s="21" t="n">
        <f aca="false">IF($N18="Y",$H18*$J18*INDEX(Summary!$C$6:$C$8,MATCH($I18,Summary!$B$6:$B$8,0)),0)</f>
        <v>355</v>
      </c>
      <c r="M18" s="21" t="n">
        <f aca="false">IF($N18="Y",$H18*$K18*INDEX(Summary!$C$6:$C$8,MATCH($I18,Summary!$B$6:$B$8,0)),0)</f>
        <v>639</v>
      </c>
      <c r="N18" s="19" t="s">
        <v>78</v>
      </c>
      <c r="O18" s="19" t="s">
        <v>79</v>
      </c>
      <c r="P18" s="15" t="s">
        <v>88</v>
      </c>
    </row>
    <row r="19" customFormat="false" ht="23.85" hidden="false" customHeight="false" outlineLevel="0" collapsed="false">
      <c r="A19" s="15" t="s">
        <v>136</v>
      </c>
      <c r="B19" s="16" t="s">
        <v>20</v>
      </c>
      <c r="C19" s="17" t="s">
        <v>137</v>
      </c>
      <c r="D19" s="17" t="s">
        <v>138</v>
      </c>
      <c r="E19" s="15" t="s">
        <v>139</v>
      </c>
      <c r="F19" s="17" t="s">
        <v>140</v>
      </c>
      <c r="G19" s="18" t="s">
        <v>39</v>
      </c>
      <c r="H19" s="19" t="n">
        <v>1</v>
      </c>
      <c r="I19" s="19" t="s">
        <v>6</v>
      </c>
      <c r="J19" s="20" t="n">
        <v>150</v>
      </c>
      <c r="K19" s="20" t="n">
        <v>400</v>
      </c>
      <c r="L19" s="21" t="n">
        <f aca="false">IF($N19="Y",$H19*$J19*INDEX(Summary!$C$6:$C$8,MATCH($I19,Summary!$B$6:$B$8,0)),0)</f>
        <v>150</v>
      </c>
      <c r="M19" s="21" t="n">
        <f aca="false">IF($N19="Y",$H19*$K19*INDEX(Summary!$C$6:$C$8,MATCH($I19,Summary!$B$6:$B$8,0)),0)</f>
        <v>400</v>
      </c>
      <c r="N19" s="19" t="s">
        <v>78</v>
      </c>
      <c r="O19" s="19" t="s">
        <v>79</v>
      </c>
      <c r="P19" s="15" t="s">
        <v>88</v>
      </c>
    </row>
    <row r="20" customFormat="false" ht="23.85" hidden="false" customHeight="false" outlineLevel="0" collapsed="false">
      <c r="A20" s="15" t="s">
        <v>141</v>
      </c>
      <c r="B20" s="16" t="s">
        <v>20</v>
      </c>
      <c r="C20" s="17" t="s">
        <v>142</v>
      </c>
      <c r="D20" s="17" t="s">
        <v>143</v>
      </c>
      <c r="E20" s="15" t="s">
        <v>76</v>
      </c>
      <c r="F20" s="17" t="s">
        <v>144</v>
      </c>
      <c r="G20" s="18" t="s">
        <v>39</v>
      </c>
      <c r="H20" s="19" t="n">
        <v>1</v>
      </c>
      <c r="I20" s="19" t="s">
        <v>8</v>
      </c>
      <c r="J20" s="20" t="n">
        <v>300</v>
      </c>
      <c r="K20" s="20" t="n">
        <v>600</v>
      </c>
      <c r="L20" s="21" t="n">
        <f aca="false">IF($N20="Y",$H20*$J20*INDEX(Summary!$C$6:$C$8,MATCH($I20,Summary!$B$6:$B$8,0)),0)</f>
        <v>426</v>
      </c>
      <c r="M20" s="21" t="n">
        <f aca="false">IF($N20="Y",$H20*$K20*INDEX(Summary!$C$6:$C$8,MATCH($I20,Summary!$B$6:$B$8,0)),0)</f>
        <v>852</v>
      </c>
      <c r="N20" s="19" t="s">
        <v>78</v>
      </c>
      <c r="O20" s="19" t="s">
        <v>79</v>
      </c>
      <c r="P20" s="15" t="s">
        <v>50</v>
      </c>
    </row>
    <row r="21" customFormat="false" ht="15" hidden="false" customHeight="false" outlineLevel="0" collapsed="false">
      <c r="A21" s="15" t="s">
        <v>145</v>
      </c>
      <c r="B21" s="16" t="s">
        <v>20</v>
      </c>
      <c r="C21" s="17" t="s">
        <v>146</v>
      </c>
      <c r="D21" s="17" t="s">
        <v>147</v>
      </c>
      <c r="E21" s="15" t="s">
        <v>76</v>
      </c>
      <c r="F21" s="17" t="s">
        <v>148</v>
      </c>
      <c r="G21" s="18" t="s">
        <v>39</v>
      </c>
      <c r="H21" s="19" t="n">
        <v>1</v>
      </c>
      <c r="I21" s="19" t="s">
        <v>8</v>
      </c>
      <c r="J21" s="20" t="n">
        <v>15</v>
      </c>
      <c r="K21" s="20" t="n">
        <v>40</v>
      </c>
      <c r="L21" s="21" t="n">
        <f aca="false">IF($N21="Y",$H21*$J21*INDEX(Summary!$C$6:$C$8,MATCH($I21,Summary!$B$6:$B$8,0)),0)</f>
        <v>21.3</v>
      </c>
      <c r="M21" s="21" t="n">
        <f aca="false">IF($N21="Y",$H21*$K21*INDEX(Summary!$C$6:$C$8,MATCH($I21,Summary!$B$6:$B$8,0)),0)</f>
        <v>56.8</v>
      </c>
      <c r="N21" s="19" t="s">
        <v>78</v>
      </c>
      <c r="O21" s="19" t="s">
        <v>79</v>
      </c>
      <c r="P21" s="15" t="s">
        <v>88</v>
      </c>
    </row>
    <row r="22" customFormat="false" ht="15" hidden="false" customHeight="false" outlineLevel="0" collapsed="false">
      <c r="A22" s="15" t="s">
        <v>149</v>
      </c>
      <c r="B22" s="16" t="s">
        <v>20</v>
      </c>
      <c r="C22" s="17" t="s">
        <v>150</v>
      </c>
      <c r="D22" s="17" t="s">
        <v>151</v>
      </c>
      <c r="E22" s="15" t="s">
        <v>76</v>
      </c>
      <c r="F22" s="17" t="s">
        <v>152</v>
      </c>
      <c r="G22" s="18" t="s">
        <v>39</v>
      </c>
      <c r="H22" s="19" t="n">
        <v>1</v>
      </c>
      <c r="I22" s="19" t="s">
        <v>8</v>
      </c>
      <c r="J22" s="20" t="n">
        <v>100</v>
      </c>
      <c r="K22" s="20" t="n">
        <v>220</v>
      </c>
      <c r="L22" s="21" t="n">
        <f aca="false">IF($N22="Y",$H22*$J22*INDEX(Summary!$C$6:$C$8,MATCH($I22,Summary!$B$6:$B$8,0)),0)</f>
        <v>142</v>
      </c>
      <c r="M22" s="21" t="n">
        <f aca="false">IF($N22="Y",$H22*$K22*INDEX(Summary!$C$6:$C$8,MATCH($I22,Summary!$B$6:$B$8,0)),0)</f>
        <v>312.4</v>
      </c>
      <c r="N22" s="19" t="s">
        <v>78</v>
      </c>
      <c r="O22" s="19" t="s">
        <v>79</v>
      </c>
      <c r="P22" s="15" t="s">
        <v>88</v>
      </c>
    </row>
    <row r="23" customFormat="false" ht="35.05" hidden="false" customHeight="false" outlineLevel="0" collapsed="false">
      <c r="A23" s="15" t="s">
        <v>153</v>
      </c>
      <c r="B23" s="16" t="s">
        <v>20</v>
      </c>
      <c r="C23" s="17" t="s">
        <v>154</v>
      </c>
      <c r="D23" s="17" t="s">
        <v>155</v>
      </c>
      <c r="E23" s="15" t="s">
        <v>76</v>
      </c>
      <c r="F23" s="17" t="s">
        <v>156</v>
      </c>
      <c r="G23" s="18" t="s">
        <v>39</v>
      </c>
      <c r="H23" s="19" t="n">
        <v>1</v>
      </c>
      <c r="I23" s="19" t="s">
        <v>8</v>
      </c>
      <c r="J23" s="20" t="n">
        <v>250</v>
      </c>
      <c r="K23" s="20" t="n">
        <v>450</v>
      </c>
      <c r="L23" s="21" t="n">
        <f aca="false">IF($N23="Y",$H23*$J23*INDEX(Summary!$C$6:$C$8,MATCH($I23,Summary!$B$6:$B$8,0)),0)</f>
        <v>355</v>
      </c>
      <c r="M23" s="21" t="n">
        <f aca="false">IF($N23="Y",$H23*$K23*INDEX(Summary!$C$6:$C$8,MATCH($I23,Summary!$B$6:$B$8,0)),0)</f>
        <v>639</v>
      </c>
      <c r="N23" s="19" t="s">
        <v>78</v>
      </c>
      <c r="O23" s="19" t="s">
        <v>106</v>
      </c>
      <c r="P23" s="15" t="s">
        <v>88</v>
      </c>
    </row>
    <row r="24" customFormat="false" ht="15" hidden="false" customHeight="false" outlineLevel="0" collapsed="false">
      <c r="A24" s="15" t="s">
        <v>157</v>
      </c>
      <c r="B24" s="16" t="s">
        <v>20</v>
      </c>
      <c r="C24" s="17" t="s">
        <v>158</v>
      </c>
      <c r="D24" s="17" t="s">
        <v>159</v>
      </c>
      <c r="E24" s="15" t="s">
        <v>76</v>
      </c>
      <c r="F24" s="17" t="s">
        <v>114</v>
      </c>
      <c r="G24" s="18" t="s">
        <v>39</v>
      </c>
      <c r="H24" s="19" t="n">
        <v>1</v>
      </c>
      <c r="I24" s="19" t="s">
        <v>8</v>
      </c>
      <c r="J24" s="20" t="n">
        <v>50</v>
      </c>
      <c r="K24" s="20" t="n">
        <v>120</v>
      </c>
      <c r="L24" s="21" t="n">
        <f aca="false">IF($N24="Y",$H24*$J24*INDEX(Summary!$C$6:$C$8,MATCH($I24,Summary!$B$6:$B$8,0)),0)</f>
        <v>71</v>
      </c>
      <c r="M24" s="21" t="n">
        <f aca="false">IF($N24="Y",$H24*$K24*INDEX(Summary!$C$6:$C$8,MATCH($I24,Summary!$B$6:$B$8,0)),0)</f>
        <v>170.4</v>
      </c>
      <c r="N24" s="19" t="s">
        <v>78</v>
      </c>
      <c r="O24" s="19" t="s">
        <v>79</v>
      </c>
      <c r="P24" s="15" t="s">
        <v>88</v>
      </c>
    </row>
    <row r="25" customFormat="false" ht="23.85" hidden="false" customHeight="false" outlineLevel="0" collapsed="false">
      <c r="A25" s="15" t="s">
        <v>160</v>
      </c>
      <c r="B25" s="16" t="s">
        <v>20</v>
      </c>
      <c r="C25" s="17" t="s">
        <v>161</v>
      </c>
      <c r="D25" s="17" t="s">
        <v>162</v>
      </c>
      <c r="E25" s="15" t="s">
        <v>122</v>
      </c>
      <c r="F25" s="17" t="s">
        <v>163</v>
      </c>
      <c r="G25" s="18" t="s">
        <v>39</v>
      </c>
      <c r="H25" s="19" t="n">
        <v>1</v>
      </c>
      <c r="I25" s="19" t="s">
        <v>6</v>
      </c>
      <c r="J25" s="20" t="n">
        <v>0</v>
      </c>
      <c r="K25" s="20" t="n">
        <v>10</v>
      </c>
      <c r="L25" s="21" t="n">
        <f aca="false">IF($N25="Y",$H25*$J25*INDEX(Summary!$C$6:$C$8,MATCH($I25,Summary!$B$6:$B$8,0)),0)</f>
        <v>0</v>
      </c>
      <c r="M25" s="21" t="n">
        <f aca="false">IF($N25="Y",$H25*$K25*INDEX(Summary!$C$6:$C$8,MATCH($I25,Summary!$B$6:$B$8,0)),0)</f>
        <v>10</v>
      </c>
      <c r="N25" s="19" t="s">
        <v>78</v>
      </c>
      <c r="O25" s="19" t="s">
        <v>79</v>
      </c>
      <c r="P25" s="15" t="s">
        <v>88</v>
      </c>
    </row>
    <row r="26" customFormat="false" ht="15" hidden="false" customHeight="false" outlineLevel="0" collapsed="false">
      <c r="A26" s="15" t="s">
        <v>164</v>
      </c>
      <c r="B26" s="16" t="s">
        <v>21</v>
      </c>
      <c r="C26" s="17" t="s">
        <v>165</v>
      </c>
      <c r="D26" s="17" t="s">
        <v>166</v>
      </c>
      <c r="E26" s="15" t="s">
        <v>167</v>
      </c>
      <c r="F26" s="17" t="s">
        <v>7</v>
      </c>
      <c r="G26" s="18" t="s">
        <v>39</v>
      </c>
      <c r="H26" s="19" t="n">
        <v>1</v>
      </c>
      <c r="I26" s="19" t="s">
        <v>6</v>
      </c>
      <c r="J26" s="20" t="n">
        <v>0</v>
      </c>
      <c r="K26" s="20" t="n">
        <v>0</v>
      </c>
      <c r="L26" s="21" t="n">
        <f aca="false">IF($N26="Y",$H26*$J26*INDEX(Summary!$C$6:$C$8,MATCH($I26,Summary!$B$6:$B$8,0)),0)</f>
        <v>0</v>
      </c>
      <c r="M26" s="21" t="n">
        <f aca="false">IF($N26="Y",$H26*$K26*INDEX(Summary!$C$6:$C$8,MATCH($I26,Summary!$B$6:$B$8,0)),0)</f>
        <v>0</v>
      </c>
      <c r="N26" s="19" t="s">
        <v>78</v>
      </c>
      <c r="O26" s="19" t="s">
        <v>167</v>
      </c>
      <c r="P26" s="15" t="s">
        <v>50</v>
      </c>
    </row>
    <row r="27" customFormat="false" ht="23.85" hidden="false" customHeight="false" outlineLevel="0" collapsed="false">
      <c r="A27" s="15" t="s">
        <v>168</v>
      </c>
      <c r="B27" s="16" t="s">
        <v>21</v>
      </c>
      <c r="C27" s="17" t="s">
        <v>169</v>
      </c>
      <c r="D27" s="17" t="s">
        <v>170</v>
      </c>
      <c r="E27" s="15" t="s">
        <v>139</v>
      </c>
      <c r="F27" s="17" t="s">
        <v>171</v>
      </c>
      <c r="G27" s="18" t="s">
        <v>39</v>
      </c>
      <c r="H27" s="19" t="n">
        <v>1</v>
      </c>
      <c r="I27" s="19" t="s">
        <v>8</v>
      </c>
      <c r="J27" s="20" t="n">
        <v>500</v>
      </c>
      <c r="K27" s="20" t="n">
        <v>900</v>
      </c>
      <c r="L27" s="21" t="n">
        <f aca="false">IF($N27="Y",$H27*$J27*INDEX(Summary!$C$6:$C$8,MATCH($I27,Summary!$B$6:$B$8,0)),0)</f>
        <v>710</v>
      </c>
      <c r="M27" s="21" t="n">
        <f aca="false">IF($N27="Y",$H27*$K27*INDEX(Summary!$C$6:$C$8,MATCH($I27,Summary!$B$6:$B$8,0)),0)</f>
        <v>1278</v>
      </c>
      <c r="N27" s="19" t="s">
        <v>78</v>
      </c>
      <c r="O27" s="19" t="s">
        <v>79</v>
      </c>
      <c r="P27" s="15" t="s">
        <v>50</v>
      </c>
    </row>
    <row r="28" customFormat="false" ht="23.85" hidden="false" customHeight="false" outlineLevel="0" collapsed="false">
      <c r="A28" s="15" t="s">
        <v>172</v>
      </c>
      <c r="B28" s="16" t="s">
        <v>22</v>
      </c>
      <c r="C28" s="17" t="s">
        <v>173</v>
      </c>
      <c r="D28" s="17" t="s">
        <v>174</v>
      </c>
      <c r="E28" s="15" t="s">
        <v>122</v>
      </c>
      <c r="F28" s="17" t="s">
        <v>175</v>
      </c>
      <c r="G28" s="18" t="s">
        <v>39</v>
      </c>
      <c r="H28" s="19" t="n">
        <v>2</v>
      </c>
      <c r="I28" s="19" t="s">
        <v>6</v>
      </c>
      <c r="J28" s="20" t="n">
        <v>75</v>
      </c>
      <c r="K28" s="20" t="n">
        <v>175</v>
      </c>
      <c r="L28" s="21" t="n">
        <f aca="false">IF($N28="Y",$H28*$J28*INDEX(Summary!$C$6:$C$8,MATCH($I28,Summary!$B$6:$B$8,0)),0)</f>
        <v>150</v>
      </c>
      <c r="M28" s="21" t="n">
        <f aca="false">IF($N28="Y",$H28*$K28*INDEX(Summary!$C$6:$C$8,MATCH($I28,Summary!$B$6:$B$8,0)),0)</f>
        <v>350</v>
      </c>
      <c r="N28" s="19" t="s">
        <v>78</v>
      </c>
      <c r="O28" s="19" t="s">
        <v>79</v>
      </c>
      <c r="P28" s="15" t="s">
        <v>88</v>
      </c>
    </row>
    <row r="29" customFormat="false" ht="15" hidden="false" customHeight="false" outlineLevel="0" collapsed="false">
      <c r="A29" s="15" t="s">
        <v>176</v>
      </c>
      <c r="B29" s="16" t="s">
        <v>22</v>
      </c>
      <c r="C29" s="17" t="s">
        <v>177</v>
      </c>
      <c r="D29" s="17" t="s">
        <v>178</v>
      </c>
      <c r="E29" s="15" t="s">
        <v>167</v>
      </c>
      <c r="F29" s="17" t="s">
        <v>7</v>
      </c>
      <c r="G29" s="18" t="s">
        <v>39</v>
      </c>
      <c r="H29" s="19" t="n">
        <v>1</v>
      </c>
      <c r="I29" s="19" t="s">
        <v>6</v>
      </c>
      <c r="J29" s="20" t="n">
        <v>0</v>
      </c>
      <c r="K29" s="20" t="n">
        <v>0</v>
      </c>
      <c r="L29" s="21" t="n">
        <f aca="false">IF($N29="Y",$H29*$J29*INDEX(Summary!$C$6:$C$8,MATCH($I29,Summary!$B$6:$B$8,0)),0)</f>
        <v>0</v>
      </c>
      <c r="M29" s="21" t="n">
        <f aca="false">IF($N29="Y",$H29*$K29*INDEX(Summary!$C$6:$C$8,MATCH($I29,Summary!$B$6:$B$8,0)),0)</f>
        <v>0</v>
      </c>
      <c r="N29" s="19" t="s">
        <v>78</v>
      </c>
      <c r="O29" s="19" t="s">
        <v>167</v>
      </c>
      <c r="P29" s="15" t="s">
        <v>88</v>
      </c>
    </row>
    <row r="30" customFormat="false" ht="23.85" hidden="false" customHeight="false" outlineLevel="0" collapsed="false">
      <c r="A30" s="15" t="s">
        <v>179</v>
      </c>
      <c r="B30" s="16" t="s">
        <v>23</v>
      </c>
      <c r="C30" s="17" t="s">
        <v>180</v>
      </c>
      <c r="D30" s="17" t="s">
        <v>181</v>
      </c>
      <c r="E30" s="15" t="s">
        <v>76</v>
      </c>
      <c r="F30" s="17" t="s">
        <v>182</v>
      </c>
      <c r="G30" s="18" t="s">
        <v>40</v>
      </c>
      <c r="H30" s="19" t="n">
        <v>1</v>
      </c>
      <c r="I30" s="19" t="s">
        <v>8</v>
      </c>
      <c r="J30" s="20" t="n">
        <v>449.99</v>
      </c>
      <c r="K30" s="20" t="n">
        <v>449.99</v>
      </c>
      <c r="L30" s="21" t="n">
        <f aca="false">IF($N30="Y",$H30*$J30*INDEX(Summary!$C$6:$C$8,MATCH($I30,Summary!$B$6:$B$8,0)),0)</f>
        <v>0</v>
      </c>
      <c r="M30" s="21" t="n">
        <f aca="false">IF($N30="Y",$H30*$K30*INDEX(Summary!$C$6:$C$8,MATCH($I30,Summary!$B$6:$B$8,0)),0)</f>
        <v>0</v>
      </c>
      <c r="N30" s="19" t="s">
        <v>93</v>
      </c>
      <c r="O30" s="19" t="s">
        <v>183</v>
      </c>
      <c r="P30" s="15" t="s">
        <v>50</v>
      </c>
    </row>
    <row r="31" customFormat="false" ht="15" hidden="false" customHeight="false" outlineLevel="0" collapsed="false">
      <c r="A31" s="15" t="s">
        <v>184</v>
      </c>
      <c r="B31" s="16" t="s">
        <v>23</v>
      </c>
      <c r="C31" s="17" t="s">
        <v>185</v>
      </c>
      <c r="D31" s="17" t="s">
        <v>186</v>
      </c>
      <c r="E31" s="15" t="s">
        <v>76</v>
      </c>
      <c r="F31" s="17" t="s">
        <v>187</v>
      </c>
      <c r="G31" s="18" t="s">
        <v>40</v>
      </c>
      <c r="H31" s="19" t="n">
        <v>1</v>
      </c>
      <c r="I31" s="19" t="s">
        <v>8</v>
      </c>
      <c r="J31" s="20" t="n">
        <v>500</v>
      </c>
      <c r="K31" s="20" t="n">
        <v>1000</v>
      </c>
      <c r="L31" s="21" t="n">
        <f aca="false">IF($N31="Y",$H31*$J31*INDEX(Summary!$C$6:$C$8,MATCH($I31,Summary!$B$6:$B$8,0)),0)</f>
        <v>0</v>
      </c>
      <c r="M31" s="21" t="n">
        <f aca="false">IF($N31="Y",$H31*$K31*INDEX(Summary!$C$6:$C$8,MATCH($I31,Summary!$B$6:$B$8,0)),0)</f>
        <v>0</v>
      </c>
      <c r="N31" s="19" t="s">
        <v>93</v>
      </c>
      <c r="O31" s="19" t="s">
        <v>183</v>
      </c>
      <c r="P31" s="15" t="s">
        <v>88</v>
      </c>
    </row>
    <row r="32" customFormat="false" ht="23.85" hidden="false" customHeight="false" outlineLevel="0" collapsed="false">
      <c r="A32" s="15" t="s">
        <v>188</v>
      </c>
      <c r="B32" s="16" t="s">
        <v>24</v>
      </c>
      <c r="C32" s="17" t="s">
        <v>189</v>
      </c>
      <c r="D32" s="17" t="s">
        <v>190</v>
      </c>
      <c r="E32" s="15" t="s">
        <v>76</v>
      </c>
      <c r="F32" s="17" t="s">
        <v>191</v>
      </c>
      <c r="G32" s="18" t="s">
        <v>40</v>
      </c>
      <c r="H32" s="19" t="n">
        <v>1</v>
      </c>
      <c r="I32" s="19" t="s">
        <v>8</v>
      </c>
      <c r="J32" s="20" t="n">
        <v>1700</v>
      </c>
      <c r="K32" s="20" t="n">
        <v>2300</v>
      </c>
      <c r="L32" s="21" t="n">
        <f aca="false">IF($N32="Y",$H32*$J32*INDEX(Summary!$C$6:$C$8,MATCH($I32,Summary!$B$6:$B$8,0)),0)</f>
        <v>2414</v>
      </c>
      <c r="M32" s="21" t="n">
        <f aca="false">IF($N32="Y",$H32*$K32*INDEX(Summary!$C$6:$C$8,MATCH($I32,Summary!$B$6:$B$8,0)),0)</f>
        <v>3266</v>
      </c>
      <c r="N32" s="19" t="s">
        <v>78</v>
      </c>
      <c r="O32" s="19" t="s">
        <v>79</v>
      </c>
      <c r="P32" s="15" t="s">
        <v>88</v>
      </c>
    </row>
    <row r="33" customFormat="false" ht="23.85" hidden="false" customHeight="false" outlineLevel="0" collapsed="false">
      <c r="A33" s="15" t="s">
        <v>192</v>
      </c>
      <c r="B33" s="16" t="s">
        <v>24</v>
      </c>
      <c r="C33" s="17" t="s">
        <v>193</v>
      </c>
      <c r="D33" s="17" t="s">
        <v>194</v>
      </c>
      <c r="E33" s="15" t="s">
        <v>122</v>
      </c>
      <c r="F33" s="17" t="s">
        <v>195</v>
      </c>
      <c r="G33" s="18" t="s">
        <v>40</v>
      </c>
      <c r="H33" s="19" t="n">
        <v>1</v>
      </c>
      <c r="I33" s="19" t="s">
        <v>8</v>
      </c>
      <c r="J33" s="20" t="n">
        <v>250</v>
      </c>
      <c r="K33" s="20" t="n">
        <v>500</v>
      </c>
      <c r="L33" s="21" t="n">
        <f aca="false">IF($N33="Y",$H33*$J33*INDEX(Summary!$C$6:$C$8,MATCH($I33,Summary!$B$6:$B$8,0)),0)</f>
        <v>355</v>
      </c>
      <c r="M33" s="21" t="n">
        <f aca="false">IF($N33="Y",$H33*$K33*INDEX(Summary!$C$6:$C$8,MATCH($I33,Summary!$B$6:$B$8,0)),0)</f>
        <v>710</v>
      </c>
      <c r="N33" s="19" t="s">
        <v>78</v>
      </c>
      <c r="O33" s="19" t="s">
        <v>79</v>
      </c>
      <c r="P33" s="15" t="s">
        <v>88</v>
      </c>
    </row>
    <row r="34" customFormat="false" ht="15" hidden="false" customHeight="false" outlineLevel="0" collapsed="false">
      <c r="A34" s="15" t="s">
        <v>196</v>
      </c>
      <c r="B34" s="16" t="s">
        <v>24</v>
      </c>
      <c r="C34" s="17" t="s">
        <v>197</v>
      </c>
      <c r="D34" s="17"/>
      <c r="E34" s="15" t="s">
        <v>76</v>
      </c>
      <c r="F34" s="17" t="s">
        <v>198</v>
      </c>
      <c r="G34" s="18" t="s">
        <v>40</v>
      </c>
      <c r="H34" s="19" t="n">
        <v>1</v>
      </c>
      <c r="I34" s="19" t="s">
        <v>8</v>
      </c>
      <c r="J34" s="20" t="n">
        <v>250</v>
      </c>
      <c r="K34" s="20" t="n">
        <v>450</v>
      </c>
      <c r="L34" s="21" t="n">
        <f aca="false">IF($N34="Y",$H34*$J34*INDEX(Summary!$C$6:$C$8,MATCH($I34,Summary!$B$6:$B$8,0)),0)</f>
        <v>355</v>
      </c>
      <c r="M34" s="21" t="n">
        <f aca="false">IF($N34="Y",$H34*$K34*INDEX(Summary!$C$6:$C$8,MATCH($I34,Summary!$B$6:$B$8,0)),0)</f>
        <v>639</v>
      </c>
      <c r="N34" s="19" t="s">
        <v>78</v>
      </c>
      <c r="O34" s="19" t="s">
        <v>79</v>
      </c>
      <c r="P34" s="15" t="s">
        <v>88</v>
      </c>
    </row>
    <row r="35" customFormat="false" ht="15" hidden="false" customHeight="false" outlineLevel="0" collapsed="false">
      <c r="A35" s="15" t="s">
        <v>199</v>
      </c>
      <c r="B35" s="16" t="s">
        <v>25</v>
      </c>
      <c r="C35" s="17" t="s">
        <v>200</v>
      </c>
      <c r="D35" s="17"/>
      <c r="E35" s="15" t="s">
        <v>76</v>
      </c>
      <c r="F35" s="17" t="s">
        <v>201</v>
      </c>
      <c r="G35" s="18" t="s">
        <v>40</v>
      </c>
      <c r="H35" s="19" t="n">
        <v>1</v>
      </c>
      <c r="I35" s="19" t="s">
        <v>8</v>
      </c>
      <c r="J35" s="20" t="n">
        <v>100</v>
      </c>
      <c r="K35" s="20" t="n">
        <v>250</v>
      </c>
      <c r="L35" s="21" t="n">
        <f aca="false">IF($N35="Y",$H35*$J35*INDEX(Summary!$C$6:$C$8,MATCH($I35,Summary!$B$6:$B$8,0)),0)</f>
        <v>142</v>
      </c>
      <c r="M35" s="21" t="n">
        <f aca="false">IF($N35="Y",$H35*$K35*INDEX(Summary!$C$6:$C$8,MATCH($I35,Summary!$B$6:$B$8,0)),0)</f>
        <v>355</v>
      </c>
      <c r="N35" s="19" t="s">
        <v>78</v>
      </c>
      <c r="O35" s="19" t="s">
        <v>79</v>
      </c>
      <c r="P35" s="15" t="s">
        <v>88</v>
      </c>
    </row>
    <row r="36" customFormat="false" ht="23.85" hidden="false" customHeight="false" outlineLevel="0" collapsed="false">
      <c r="A36" s="15" t="s">
        <v>202</v>
      </c>
      <c r="B36" s="16" t="s">
        <v>25</v>
      </c>
      <c r="C36" s="17" t="s">
        <v>203</v>
      </c>
      <c r="D36" s="17" t="s">
        <v>204</v>
      </c>
      <c r="E36" s="15" t="s">
        <v>76</v>
      </c>
      <c r="F36" s="17" t="s">
        <v>205</v>
      </c>
      <c r="G36" s="18" t="s">
        <v>40</v>
      </c>
      <c r="H36" s="19" t="n">
        <v>1</v>
      </c>
      <c r="I36" s="19" t="s">
        <v>8</v>
      </c>
      <c r="J36" s="20" t="n">
        <v>120</v>
      </c>
      <c r="K36" s="20" t="n">
        <v>250</v>
      </c>
      <c r="L36" s="21" t="n">
        <f aca="false">IF($N36="Y",$H36*$J36*INDEX(Summary!$C$6:$C$8,MATCH($I36,Summary!$B$6:$B$8,0)),0)</f>
        <v>170.4</v>
      </c>
      <c r="M36" s="21" t="n">
        <f aca="false">IF($N36="Y",$H36*$K36*INDEX(Summary!$C$6:$C$8,MATCH($I36,Summary!$B$6:$B$8,0)),0)</f>
        <v>355</v>
      </c>
      <c r="N36" s="19" t="s">
        <v>78</v>
      </c>
      <c r="O36" s="19" t="s">
        <v>79</v>
      </c>
      <c r="P36" s="15" t="s">
        <v>88</v>
      </c>
    </row>
    <row r="37" customFormat="false" ht="15" hidden="false" customHeight="false" outlineLevel="0" collapsed="false">
      <c r="A37" s="15" t="s">
        <v>206</v>
      </c>
      <c r="B37" s="16" t="s">
        <v>25</v>
      </c>
      <c r="C37" s="17" t="s">
        <v>207</v>
      </c>
      <c r="D37" s="17" t="s">
        <v>208</v>
      </c>
      <c r="E37" s="15" t="s">
        <v>76</v>
      </c>
      <c r="F37" s="17" t="s">
        <v>205</v>
      </c>
      <c r="G37" s="18" t="s">
        <v>40</v>
      </c>
      <c r="H37" s="19" t="n">
        <v>1</v>
      </c>
      <c r="I37" s="19" t="s">
        <v>8</v>
      </c>
      <c r="J37" s="20" t="n">
        <v>60</v>
      </c>
      <c r="K37" s="20" t="n">
        <v>150</v>
      </c>
      <c r="L37" s="21" t="n">
        <f aca="false">IF($N37="Y",$H37*$J37*INDEX(Summary!$C$6:$C$8,MATCH($I37,Summary!$B$6:$B$8,0)),0)</f>
        <v>85.2</v>
      </c>
      <c r="M37" s="21" t="n">
        <f aca="false">IF($N37="Y",$H37*$K37*INDEX(Summary!$C$6:$C$8,MATCH($I37,Summary!$B$6:$B$8,0)),0)</f>
        <v>213</v>
      </c>
      <c r="N37" s="19" t="s">
        <v>78</v>
      </c>
      <c r="O37" s="19" t="s">
        <v>79</v>
      </c>
      <c r="P37" s="15" t="s">
        <v>88</v>
      </c>
    </row>
    <row r="38" customFormat="false" ht="23.85" hidden="false" customHeight="false" outlineLevel="0" collapsed="false">
      <c r="A38" s="15" t="s">
        <v>209</v>
      </c>
      <c r="B38" s="16" t="s">
        <v>26</v>
      </c>
      <c r="C38" s="17" t="s">
        <v>210</v>
      </c>
      <c r="D38" s="17" t="s">
        <v>211</v>
      </c>
      <c r="E38" s="15" t="s">
        <v>122</v>
      </c>
      <c r="F38" s="17" t="s">
        <v>212</v>
      </c>
      <c r="G38" s="18" t="s">
        <v>40</v>
      </c>
      <c r="H38" s="19" t="n">
        <v>1</v>
      </c>
      <c r="I38" s="19" t="s">
        <v>8</v>
      </c>
      <c r="J38" s="20" t="n">
        <v>400</v>
      </c>
      <c r="K38" s="20" t="n">
        <v>700</v>
      </c>
      <c r="L38" s="21" t="n">
        <f aca="false">IF($N38="Y",$H38*$J38*INDEX(Summary!$C$6:$C$8,MATCH($I38,Summary!$B$6:$B$8,0)),0)</f>
        <v>568</v>
      </c>
      <c r="M38" s="21" t="n">
        <f aca="false">IF($N38="Y",$H38*$K38*INDEX(Summary!$C$6:$C$8,MATCH($I38,Summary!$B$6:$B$8,0)),0)</f>
        <v>994</v>
      </c>
      <c r="N38" s="19" t="s">
        <v>78</v>
      </c>
      <c r="O38" s="19" t="s">
        <v>79</v>
      </c>
      <c r="P38" s="15" t="s">
        <v>50</v>
      </c>
    </row>
    <row r="39" customFormat="false" ht="15" hidden="false" customHeight="false" outlineLevel="0" collapsed="false">
      <c r="A39" s="15" t="s">
        <v>213</v>
      </c>
      <c r="B39" s="16" t="s">
        <v>27</v>
      </c>
      <c r="C39" s="17" t="s">
        <v>214</v>
      </c>
      <c r="D39" s="17"/>
      <c r="E39" s="15" t="s">
        <v>76</v>
      </c>
      <c r="F39" s="17" t="s">
        <v>114</v>
      </c>
      <c r="G39" s="18" t="s">
        <v>40</v>
      </c>
      <c r="H39" s="19" t="n">
        <v>1</v>
      </c>
      <c r="I39" s="19" t="s">
        <v>8</v>
      </c>
      <c r="J39" s="20" t="n">
        <v>150</v>
      </c>
      <c r="K39" s="20" t="n">
        <v>350</v>
      </c>
      <c r="L39" s="21" t="n">
        <f aca="false">IF($N39="Y",$H39*$J39*INDEX(Summary!$C$6:$C$8,MATCH($I39,Summary!$B$6:$B$8,0)),0)</f>
        <v>213</v>
      </c>
      <c r="M39" s="21" t="n">
        <f aca="false">IF($N39="Y",$H39*$K39*INDEX(Summary!$C$6:$C$8,MATCH($I39,Summary!$B$6:$B$8,0)),0)</f>
        <v>497</v>
      </c>
      <c r="N39" s="19" t="s">
        <v>78</v>
      </c>
      <c r="O39" s="19" t="s">
        <v>79</v>
      </c>
      <c r="P39" s="15" t="s">
        <v>88</v>
      </c>
    </row>
    <row r="40" customFormat="false" ht="23.85" hidden="false" customHeight="false" outlineLevel="0" collapsed="false">
      <c r="A40" s="15" t="s">
        <v>215</v>
      </c>
      <c r="B40" s="16" t="s">
        <v>27</v>
      </c>
      <c r="C40" s="17" t="s">
        <v>216</v>
      </c>
      <c r="D40" s="17"/>
      <c r="E40" s="15" t="s">
        <v>122</v>
      </c>
      <c r="F40" s="17" t="s">
        <v>114</v>
      </c>
      <c r="G40" s="18" t="s">
        <v>40</v>
      </c>
      <c r="H40" s="19" t="n">
        <v>1</v>
      </c>
      <c r="I40" s="19" t="s">
        <v>8</v>
      </c>
      <c r="J40" s="20" t="n">
        <v>150</v>
      </c>
      <c r="K40" s="20" t="n">
        <v>300</v>
      </c>
      <c r="L40" s="21" t="n">
        <f aca="false">IF($N40="Y",$H40*$J40*INDEX(Summary!$C$6:$C$8,MATCH($I40,Summary!$B$6:$B$8,0)),0)</f>
        <v>213</v>
      </c>
      <c r="M40" s="21" t="n">
        <f aca="false">IF($N40="Y",$H40*$K40*INDEX(Summary!$C$6:$C$8,MATCH($I40,Summary!$B$6:$B$8,0)),0)</f>
        <v>426</v>
      </c>
      <c r="N40" s="19" t="s">
        <v>78</v>
      </c>
      <c r="O40" s="19" t="s">
        <v>79</v>
      </c>
      <c r="P40" s="15" t="s">
        <v>88</v>
      </c>
    </row>
    <row r="41" customFormat="false" ht="15" hidden="false" customHeight="false" outlineLevel="0" collapsed="false">
      <c r="A41" s="15" t="s">
        <v>217</v>
      </c>
      <c r="B41" s="16" t="s">
        <v>28</v>
      </c>
      <c r="C41" s="17" t="s">
        <v>218</v>
      </c>
      <c r="D41" s="17" t="s">
        <v>219</v>
      </c>
      <c r="E41" s="15" t="s">
        <v>76</v>
      </c>
      <c r="F41" s="17" t="s">
        <v>220</v>
      </c>
      <c r="G41" s="18" t="s">
        <v>40</v>
      </c>
      <c r="H41" s="19" t="n">
        <v>1</v>
      </c>
      <c r="I41" s="19" t="s">
        <v>8</v>
      </c>
      <c r="J41" s="20" t="n">
        <v>100</v>
      </c>
      <c r="K41" s="20" t="n">
        <v>250</v>
      </c>
      <c r="L41" s="21" t="n">
        <f aca="false">IF($N41="Y",$H41*$J41*INDEX(Summary!$C$6:$C$8,MATCH($I41,Summary!$B$6:$B$8,0)),0)</f>
        <v>142</v>
      </c>
      <c r="M41" s="21" t="n">
        <f aca="false">IF($N41="Y",$H41*$K41*INDEX(Summary!$C$6:$C$8,MATCH($I41,Summary!$B$6:$B$8,0)),0)</f>
        <v>355</v>
      </c>
      <c r="N41" s="19" t="s">
        <v>78</v>
      </c>
      <c r="O41" s="19" t="s">
        <v>79</v>
      </c>
      <c r="P41" s="15" t="s">
        <v>88</v>
      </c>
    </row>
    <row r="42" customFormat="false" ht="23.85" hidden="false" customHeight="false" outlineLevel="0" collapsed="false">
      <c r="A42" s="15" t="s">
        <v>221</v>
      </c>
      <c r="B42" s="16" t="s">
        <v>28</v>
      </c>
      <c r="C42" s="17" t="s">
        <v>222</v>
      </c>
      <c r="D42" s="17" t="s">
        <v>223</v>
      </c>
      <c r="E42" s="15" t="s">
        <v>106</v>
      </c>
      <c r="F42" s="17" t="s">
        <v>224</v>
      </c>
      <c r="G42" s="18" t="s">
        <v>39</v>
      </c>
      <c r="H42" s="19" t="n">
        <v>1</v>
      </c>
      <c r="I42" s="19" t="s">
        <v>8</v>
      </c>
      <c r="J42" s="20" t="n">
        <v>0</v>
      </c>
      <c r="K42" s="20" t="n">
        <v>800</v>
      </c>
      <c r="L42" s="21" t="n">
        <f aca="false">IF($N42="Y",$H42*$J42*INDEX(Summary!$C$6:$C$8,MATCH($I42,Summary!$B$6:$B$8,0)),0)</f>
        <v>0</v>
      </c>
      <c r="M42" s="21" t="n">
        <f aca="false">IF($N42="Y",$H42*$K42*INDEX(Summary!$C$6:$C$8,MATCH($I42,Summary!$B$6:$B$8,0)),0)</f>
        <v>1136</v>
      </c>
      <c r="N42" s="19" t="s">
        <v>78</v>
      </c>
      <c r="O42" s="19" t="s">
        <v>106</v>
      </c>
      <c r="P42" s="15" t="s">
        <v>88</v>
      </c>
    </row>
    <row r="43" customFormat="false" ht="23.85" hidden="false" customHeight="false" outlineLevel="0" collapsed="false">
      <c r="A43" s="15" t="s">
        <v>225</v>
      </c>
      <c r="B43" s="16" t="s">
        <v>25</v>
      </c>
      <c r="C43" s="17" t="s">
        <v>226</v>
      </c>
      <c r="D43" s="17" t="s">
        <v>227</v>
      </c>
      <c r="E43" s="15" t="s">
        <v>76</v>
      </c>
      <c r="F43" s="17" t="s">
        <v>114</v>
      </c>
      <c r="G43" s="18" t="s">
        <v>40</v>
      </c>
      <c r="H43" s="19" t="n">
        <v>1</v>
      </c>
      <c r="I43" s="19" t="s">
        <v>8</v>
      </c>
      <c r="J43" s="20" t="n">
        <v>60</v>
      </c>
      <c r="K43" s="20" t="n">
        <v>150</v>
      </c>
      <c r="L43" s="21" t="n">
        <f aca="false">IF($N43="Y",$H43*$J43*INDEX(Summary!$C$6:$C$8,MATCH($I43,Summary!$B$6:$B$8,0)),0)</f>
        <v>85.2</v>
      </c>
      <c r="M43" s="21" t="n">
        <f aca="false">IF($N43="Y",$H43*$K43*INDEX(Summary!$C$6:$C$8,MATCH($I43,Summary!$B$6:$B$8,0)),0)</f>
        <v>213</v>
      </c>
      <c r="N43" s="19" t="s">
        <v>78</v>
      </c>
      <c r="O43" s="19" t="s">
        <v>79</v>
      </c>
      <c r="P43" s="15" t="s">
        <v>88</v>
      </c>
    </row>
    <row r="44" customFormat="false" ht="15" hidden="false" customHeight="false" outlineLevel="0" collapsed="false">
      <c r="A44" s="15" t="s">
        <v>228</v>
      </c>
      <c r="B44" s="16" t="s">
        <v>29</v>
      </c>
      <c r="C44" s="17" t="s">
        <v>229</v>
      </c>
      <c r="D44" s="17"/>
      <c r="E44" s="15" t="s">
        <v>76</v>
      </c>
      <c r="F44" s="17" t="s">
        <v>230</v>
      </c>
      <c r="G44" s="18" t="s">
        <v>40</v>
      </c>
      <c r="H44" s="19" t="n">
        <v>1</v>
      </c>
      <c r="I44" s="19" t="s">
        <v>8</v>
      </c>
      <c r="J44" s="20" t="n">
        <v>100</v>
      </c>
      <c r="K44" s="20" t="n">
        <v>200</v>
      </c>
      <c r="L44" s="21" t="n">
        <f aca="false">IF($N44="Y",$H44*$J44*INDEX(Summary!$C$6:$C$8,MATCH($I44,Summary!$B$6:$B$8,0)),0)</f>
        <v>142</v>
      </c>
      <c r="M44" s="21" t="n">
        <f aca="false">IF($N44="Y",$H44*$K44*INDEX(Summary!$C$6:$C$8,MATCH($I44,Summary!$B$6:$B$8,0)),0)</f>
        <v>284</v>
      </c>
      <c r="N44" s="19" t="s">
        <v>78</v>
      </c>
      <c r="O44" s="19" t="s">
        <v>79</v>
      </c>
      <c r="P44" s="15" t="s">
        <v>88</v>
      </c>
    </row>
    <row r="45" customFormat="false" ht="23.85" hidden="false" customHeight="false" outlineLevel="0" collapsed="false">
      <c r="A45" s="15" t="s">
        <v>231</v>
      </c>
      <c r="B45" s="16" t="s">
        <v>29</v>
      </c>
      <c r="C45" s="17" t="s">
        <v>232</v>
      </c>
      <c r="D45" s="17" t="s">
        <v>233</v>
      </c>
      <c r="E45" s="15" t="s">
        <v>76</v>
      </c>
      <c r="F45" s="17" t="s">
        <v>234</v>
      </c>
      <c r="G45" s="18" t="s">
        <v>40</v>
      </c>
      <c r="H45" s="19" t="n">
        <v>5</v>
      </c>
      <c r="I45" s="19" t="s">
        <v>8</v>
      </c>
      <c r="J45" s="20" t="n">
        <v>50</v>
      </c>
      <c r="K45" s="20" t="n">
        <v>90</v>
      </c>
      <c r="L45" s="21" t="n">
        <f aca="false">IF($N45="Y",$H45*$J45*INDEX(Summary!$C$6:$C$8,MATCH($I45,Summary!$B$6:$B$8,0)),0)</f>
        <v>355</v>
      </c>
      <c r="M45" s="21" t="n">
        <f aca="false">IF($N45="Y",$H45*$K45*INDEX(Summary!$C$6:$C$8,MATCH($I45,Summary!$B$6:$B$8,0)),0)</f>
        <v>639</v>
      </c>
      <c r="N45" s="19" t="s">
        <v>78</v>
      </c>
      <c r="O45" s="19" t="s">
        <v>79</v>
      </c>
      <c r="P45" s="15" t="s">
        <v>88</v>
      </c>
    </row>
    <row r="46" customFormat="false" ht="23.85" hidden="false" customHeight="false" outlineLevel="0" collapsed="false">
      <c r="A46" s="15" t="s">
        <v>235</v>
      </c>
      <c r="B46" s="16" t="s">
        <v>29</v>
      </c>
      <c r="C46" s="17" t="s">
        <v>236</v>
      </c>
      <c r="D46" s="17" t="s">
        <v>237</v>
      </c>
      <c r="E46" s="15" t="s">
        <v>76</v>
      </c>
      <c r="F46" s="17" t="s">
        <v>205</v>
      </c>
      <c r="G46" s="18" t="s">
        <v>40</v>
      </c>
      <c r="H46" s="19" t="n">
        <v>1</v>
      </c>
      <c r="I46" s="19" t="s">
        <v>8</v>
      </c>
      <c r="J46" s="20" t="n">
        <v>400</v>
      </c>
      <c r="K46" s="20" t="n">
        <v>800</v>
      </c>
      <c r="L46" s="21" t="n">
        <f aca="false">IF($N46="Y",$H46*$J46*INDEX(Summary!$C$6:$C$8,MATCH($I46,Summary!$B$6:$B$8,0)),0)</f>
        <v>568</v>
      </c>
      <c r="M46" s="21" t="n">
        <f aca="false">IF($N46="Y",$H46*$K46*INDEX(Summary!$C$6:$C$8,MATCH($I46,Summary!$B$6:$B$8,0)),0)</f>
        <v>1136</v>
      </c>
      <c r="N46" s="19" t="s">
        <v>78</v>
      </c>
      <c r="O46" s="19" t="s">
        <v>79</v>
      </c>
      <c r="P46" s="15" t="s">
        <v>88</v>
      </c>
    </row>
    <row r="47" customFormat="false" ht="15" hidden="false" customHeight="false" outlineLevel="0" collapsed="false">
      <c r="A47" s="15" t="s">
        <v>238</v>
      </c>
      <c r="B47" s="16" t="s">
        <v>30</v>
      </c>
      <c r="C47" s="17" t="s">
        <v>239</v>
      </c>
      <c r="D47" s="17" t="s">
        <v>240</v>
      </c>
      <c r="E47" s="15" t="s">
        <v>76</v>
      </c>
      <c r="F47" s="17" t="s">
        <v>241</v>
      </c>
      <c r="G47" s="18" t="s">
        <v>38</v>
      </c>
      <c r="H47" s="19" t="n">
        <v>1</v>
      </c>
      <c r="I47" s="19" t="s">
        <v>8</v>
      </c>
      <c r="J47" s="20" t="n">
        <v>140</v>
      </c>
      <c r="K47" s="20" t="n">
        <v>195</v>
      </c>
      <c r="L47" s="21" t="n">
        <f aca="false">IF($N47="Y",$H47*$J47*INDEX(Summary!$C$6:$C$8,MATCH($I47,Summary!$B$6:$B$8,0)),0)</f>
        <v>198.8</v>
      </c>
      <c r="M47" s="21" t="n">
        <f aca="false">IF($N47="Y",$H47*$K47*INDEX(Summary!$C$6:$C$8,MATCH($I47,Summary!$B$6:$B$8,0)),0)</f>
        <v>276.9</v>
      </c>
      <c r="N47" s="19" t="s">
        <v>78</v>
      </c>
      <c r="O47" s="19" t="s">
        <v>79</v>
      </c>
      <c r="P47" s="15" t="s">
        <v>50</v>
      </c>
    </row>
    <row r="48" customFormat="false" ht="15" hidden="false" customHeight="false" outlineLevel="0" collapsed="false">
      <c r="A48" s="15" t="s">
        <v>242</v>
      </c>
      <c r="B48" s="16" t="s">
        <v>30</v>
      </c>
      <c r="C48" s="17" t="s">
        <v>243</v>
      </c>
      <c r="D48" s="17"/>
      <c r="E48" s="15" t="s">
        <v>76</v>
      </c>
      <c r="F48" s="17" t="s">
        <v>241</v>
      </c>
      <c r="G48" s="18" t="s">
        <v>38</v>
      </c>
      <c r="H48" s="19" t="n">
        <v>1</v>
      </c>
      <c r="I48" s="19" t="s">
        <v>8</v>
      </c>
      <c r="J48" s="20" t="n">
        <v>35</v>
      </c>
      <c r="K48" s="20" t="n">
        <v>35</v>
      </c>
      <c r="L48" s="21" t="n">
        <f aca="false">IF($N48="Y",$H48*$J48*INDEX(Summary!$C$6:$C$8,MATCH($I48,Summary!$B$6:$B$8,0)),0)</f>
        <v>49.7</v>
      </c>
      <c r="M48" s="21" t="n">
        <f aca="false">IF($N48="Y",$H48*$K48*INDEX(Summary!$C$6:$C$8,MATCH($I48,Summary!$B$6:$B$8,0)),0)</f>
        <v>49.7</v>
      </c>
      <c r="N48" s="19" t="s">
        <v>78</v>
      </c>
      <c r="O48" s="19" t="s">
        <v>79</v>
      </c>
      <c r="P48" s="15" t="s">
        <v>50</v>
      </c>
    </row>
    <row r="49" customFormat="false" ht="15" hidden="false" customHeight="false" outlineLevel="0" collapsed="false">
      <c r="A49" s="15" t="s">
        <v>244</v>
      </c>
      <c r="B49" s="16" t="s">
        <v>30</v>
      </c>
      <c r="C49" s="17" t="s">
        <v>245</v>
      </c>
      <c r="D49" s="17" t="s">
        <v>246</v>
      </c>
      <c r="E49" s="15" t="s">
        <v>76</v>
      </c>
      <c r="F49" s="17" t="s">
        <v>92</v>
      </c>
      <c r="G49" s="18" t="s">
        <v>39</v>
      </c>
      <c r="H49" s="19" t="n">
        <v>1</v>
      </c>
      <c r="I49" s="19" t="s">
        <v>8</v>
      </c>
      <c r="J49" s="20" t="n">
        <v>30</v>
      </c>
      <c r="K49" s="20" t="n">
        <v>100</v>
      </c>
      <c r="L49" s="21" t="n">
        <f aca="false">IF($N49="Y",$H49*$J49*INDEX(Summary!$C$6:$C$8,MATCH($I49,Summary!$B$6:$B$8,0)),0)</f>
        <v>42.6</v>
      </c>
      <c r="M49" s="21" t="n">
        <f aca="false">IF($N49="Y",$H49*$K49*INDEX(Summary!$C$6:$C$8,MATCH($I49,Summary!$B$6:$B$8,0)),0)</f>
        <v>142</v>
      </c>
      <c r="N49" s="19" t="s">
        <v>78</v>
      </c>
      <c r="O49" s="19" t="s">
        <v>79</v>
      </c>
      <c r="P49" s="15" t="s">
        <v>88</v>
      </c>
    </row>
    <row r="50" customFormat="false" ht="15" hidden="false" customHeight="false" outlineLevel="0" collapsed="false">
      <c r="A50" s="15" t="s">
        <v>247</v>
      </c>
      <c r="B50" s="16" t="s">
        <v>30</v>
      </c>
      <c r="C50" s="17" t="s">
        <v>248</v>
      </c>
      <c r="D50" s="17" t="s">
        <v>249</v>
      </c>
      <c r="E50" s="15" t="s">
        <v>76</v>
      </c>
      <c r="F50" s="17" t="s">
        <v>250</v>
      </c>
      <c r="G50" s="18" t="s">
        <v>40</v>
      </c>
      <c r="H50" s="19" t="n">
        <v>1</v>
      </c>
      <c r="I50" s="19" t="s">
        <v>8</v>
      </c>
      <c r="J50" s="20" t="n">
        <v>0</v>
      </c>
      <c r="K50" s="20" t="n">
        <v>700</v>
      </c>
      <c r="L50" s="21" t="n">
        <f aca="false">IF($N50="Y",$H50*$J50*INDEX(Summary!$C$6:$C$8,MATCH($I50,Summary!$B$6:$B$8,0)),0)</f>
        <v>0</v>
      </c>
      <c r="M50" s="21" t="n">
        <f aca="false">IF($N50="Y",$H50*$K50*INDEX(Summary!$C$6:$C$8,MATCH($I50,Summary!$B$6:$B$8,0)),0)</f>
        <v>994</v>
      </c>
      <c r="N50" s="19" t="s">
        <v>78</v>
      </c>
      <c r="O50" s="19" t="s">
        <v>106</v>
      </c>
      <c r="P50" s="15" t="s">
        <v>88</v>
      </c>
    </row>
    <row r="51" customFormat="false" ht="15" hidden="false" customHeight="false" outlineLevel="0" collapsed="false">
      <c r="A51" s="15" t="s">
        <v>251</v>
      </c>
      <c r="B51" s="16" t="s">
        <v>30</v>
      </c>
      <c r="C51" s="17" t="s">
        <v>252</v>
      </c>
      <c r="D51" s="17"/>
      <c r="E51" s="15" t="s">
        <v>76</v>
      </c>
      <c r="F51" s="17" t="s">
        <v>253</v>
      </c>
      <c r="G51" s="18" t="s">
        <v>38</v>
      </c>
      <c r="H51" s="19" t="n">
        <v>1</v>
      </c>
      <c r="I51" s="19" t="s">
        <v>8</v>
      </c>
      <c r="J51" s="20" t="n">
        <v>180</v>
      </c>
      <c r="K51" s="20" t="n">
        <v>300</v>
      </c>
      <c r="L51" s="21" t="n">
        <f aca="false">IF($N51="Y",$H51*$J51*INDEX(Summary!$C$6:$C$8,MATCH($I51,Summary!$B$6:$B$8,0)),0)</f>
        <v>255.6</v>
      </c>
      <c r="M51" s="21" t="n">
        <f aca="false">IF($N51="Y",$H51*$K51*INDEX(Summary!$C$6:$C$8,MATCH($I51,Summary!$B$6:$B$8,0)),0)</f>
        <v>426</v>
      </c>
      <c r="N51" s="19" t="s">
        <v>78</v>
      </c>
      <c r="O51" s="19" t="s">
        <v>79</v>
      </c>
      <c r="P51" s="15" t="s">
        <v>88</v>
      </c>
    </row>
    <row r="52" customFormat="false" ht="15" hidden="false" customHeight="false" outlineLevel="0" collapsed="false">
      <c r="A52" s="15" t="s">
        <v>254</v>
      </c>
      <c r="B52" s="16" t="s">
        <v>30</v>
      </c>
      <c r="C52" s="17" t="s">
        <v>255</v>
      </c>
      <c r="D52" s="17" t="s">
        <v>256</v>
      </c>
      <c r="E52" s="15" t="s">
        <v>76</v>
      </c>
      <c r="F52" s="17" t="s">
        <v>114</v>
      </c>
      <c r="G52" s="18" t="s">
        <v>38</v>
      </c>
      <c r="H52" s="19" t="n">
        <v>1</v>
      </c>
      <c r="I52" s="19" t="s">
        <v>8</v>
      </c>
      <c r="J52" s="20" t="n">
        <v>150</v>
      </c>
      <c r="K52" s="20" t="n">
        <v>350</v>
      </c>
      <c r="L52" s="21" t="n">
        <f aca="false">IF($N52="Y",$H52*$J52*INDEX(Summary!$C$6:$C$8,MATCH($I52,Summary!$B$6:$B$8,0)),0)</f>
        <v>213</v>
      </c>
      <c r="M52" s="21" t="n">
        <f aca="false">IF($N52="Y",$H52*$K52*INDEX(Summary!$C$6:$C$8,MATCH($I52,Summary!$B$6:$B$8,0)),0)</f>
        <v>497</v>
      </c>
      <c r="N52" s="19" t="s">
        <v>78</v>
      </c>
      <c r="O52" s="19" t="s">
        <v>79</v>
      </c>
      <c r="P52" s="15" t="s">
        <v>88</v>
      </c>
    </row>
    <row r="53" customFormat="false" ht="23.85" hidden="false" customHeight="false" outlineLevel="0" collapsed="false">
      <c r="A53" s="15" t="s">
        <v>257</v>
      </c>
      <c r="B53" s="16" t="s">
        <v>30</v>
      </c>
      <c r="C53" s="17" t="s">
        <v>258</v>
      </c>
      <c r="D53" s="17" t="s">
        <v>259</v>
      </c>
      <c r="E53" s="15" t="s">
        <v>122</v>
      </c>
      <c r="F53" s="17" t="s">
        <v>260</v>
      </c>
      <c r="G53" s="18" t="s">
        <v>39</v>
      </c>
      <c r="H53" s="19" t="n">
        <v>1</v>
      </c>
      <c r="I53" s="19" t="s">
        <v>8</v>
      </c>
      <c r="J53" s="20" t="n">
        <v>60</v>
      </c>
      <c r="K53" s="20" t="n">
        <v>150</v>
      </c>
      <c r="L53" s="21" t="n">
        <f aca="false">IF($N53="Y",$H53*$J53*INDEX(Summary!$C$6:$C$8,MATCH($I53,Summary!$B$6:$B$8,0)),0)</f>
        <v>85.2</v>
      </c>
      <c r="M53" s="21" t="n">
        <f aca="false">IF($N53="Y",$H53*$K53*INDEX(Summary!$C$6:$C$8,MATCH($I53,Summary!$B$6:$B$8,0)),0)</f>
        <v>213</v>
      </c>
      <c r="N53" s="19" t="s">
        <v>78</v>
      </c>
      <c r="O53" s="19" t="s">
        <v>79</v>
      </c>
      <c r="P53" s="15" t="s">
        <v>88</v>
      </c>
    </row>
    <row r="54" customFormat="false" ht="15" hidden="false" customHeight="false" outlineLevel="0" collapsed="false">
      <c r="A54" s="15" t="s">
        <v>261</v>
      </c>
      <c r="B54" s="16" t="s">
        <v>30</v>
      </c>
      <c r="C54" s="17" t="s">
        <v>262</v>
      </c>
      <c r="D54" s="17" t="s">
        <v>263</v>
      </c>
      <c r="E54" s="15" t="s">
        <v>76</v>
      </c>
      <c r="F54" s="17" t="s">
        <v>264</v>
      </c>
      <c r="G54" s="18" t="s">
        <v>37</v>
      </c>
      <c r="H54" s="19" t="n">
        <v>1</v>
      </c>
      <c r="I54" s="19" t="s">
        <v>8</v>
      </c>
      <c r="J54" s="20" t="n">
        <v>40</v>
      </c>
      <c r="K54" s="20" t="n">
        <v>120</v>
      </c>
      <c r="L54" s="21" t="n">
        <f aca="false">IF($N54="Y",$H54*$J54*INDEX(Summary!$C$6:$C$8,MATCH($I54,Summary!$B$6:$B$8,0)),0)</f>
        <v>56.8</v>
      </c>
      <c r="M54" s="21" t="n">
        <f aca="false">IF($N54="Y",$H54*$K54*INDEX(Summary!$C$6:$C$8,MATCH($I54,Summary!$B$6:$B$8,0)),0)</f>
        <v>170.4</v>
      </c>
      <c r="N54" s="19" t="s">
        <v>78</v>
      </c>
      <c r="O54" s="19" t="s">
        <v>79</v>
      </c>
      <c r="P54" s="15" t="s">
        <v>88</v>
      </c>
    </row>
    <row r="55" customFormat="false" ht="23.85" hidden="false" customHeight="false" outlineLevel="0" collapsed="false">
      <c r="A55" s="15" t="s">
        <v>265</v>
      </c>
      <c r="B55" s="16" t="s">
        <v>30</v>
      </c>
      <c r="C55" s="17" t="s">
        <v>266</v>
      </c>
      <c r="D55" s="17"/>
      <c r="E55" s="15" t="s">
        <v>122</v>
      </c>
      <c r="F55" s="17" t="s">
        <v>114</v>
      </c>
      <c r="G55" s="18" t="s">
        <v>39</v>
      </c>
      <c r="H55" s="19" t="n">
        <v>1</v>
      </c>
      <c r="I55" s="19" t="s">
        <v>8</v>
      </c>
      <c r="J55" s="20" t="n">
        <v>250</v>
      </c>
      <c r="K55" s="20" t="n">
        <v>500</v>
      </c>
      <c r="L55" s="21" t="n">
        <f aca="false">IF($N55="Y",$H55*$J55*INDEX(Summary!$C$6:$C$8,MATCH($I55,Summary!$B$6:$B$8,0)),0)</f>
        <v>355</v>
      </c>
      <c r="M55" s="21" t="n">
        <f aca="false">IF($N55="Y",$H55*$K55*INDEX(Summary!$C$6:$C$8,MATCH($I55,Summary!$B$6:$B$8,0)),0)</f>
        <v>710</v>
      </c>
      <c r="N55" s="19" t="s">
        <v>78</v>
      </c>
      <c r="O55" s="19" t="s">
        <v>79</v>
      </c>
      <c r="P55" s="15" t="s">
        <v>88</v>
      </c>
    </row>
    <row r="56" customFormat="false" ht="15" hidden="false" customHeight="false" outlineLevel="0" collapsed="false">
      <c r="A56" s="15" t="s">
        <v>267</v>
      </c>
      <c r="B56" s="16" t="s">
        <v>30</v>
      </c>
      <c r="C56" s="17" t="s">
        <v>268</v>
      </c>
      <c r="D56" s="17" t="s">
        <v>269</v>
      </c>
      <c r="E56" s="15" t="s">
        <v>122</v>
      </c>
      <c r="F56" s="17" t="s">
        <v>270</v>
      </c>
      <c r="G56" s="18" t="s">
        <v>38</v>
      </c>
      <c r="H56" s="19" t="n">
        <v>1</v>
      </c>
      <c r="I56" s="19" t="s">
        <v>8</v>
      </c>
      <c r="J56" s="20" t="n">
        <v>20</v>
      </c>
      <c r="K56" s="20" t="n">
        <v>60</v>
      </c>
      <c r="L56" s="21" t="n">
        <f aca="false">IF($N56="Y",$H56*$J56*INDEX(Summary!$C$6:$C$8,MATCH($I56,Summary!$B$6:$B$8,0)),0)</f>
        <v>28.4</v>
      </c>
      <c r="M56" s="21" t="n">
        <f aca="false">IF($N56="Y",$H56*$K56*INDEX(Summary!$C$6:$C$8,MATCH($I56,Summary!$B$6:$B$8,0)),0)</f>
        <v>85.2</v>
      </c>
      <c r="N56" s="19" t="s">
        <v>78</v>
      </c>
      <c r="O56" s="19" t="s">
        <v>79</v>
      </c>
      <c r="P56" s="15" t="s">
        <v>88</v>
      </c>
    </row>
    <row r="57" customFormat="false" ht="15" hidden="false" customHeight="false" outlineLevel="0" collapsed="false">
      <c r="A57" s="15" t="s">
        <v>271</v>
      </c>
      <c r="B57" s="16" t="s">
        <v>31</v>
      </c>
      <c r="C57" s="17" t="s">
        <v>272</v>
      </c>
      <c r="D57" s="17"/>
      <c r="E57" s="15" t="s">
        <v>76</v>
      </c>
      <c r="F57" s="17" t="s">
        <v>114</v>
      </c>
      <c r="G57" s="18" t="s">
        <v>39</v>
      </c>
      <c r="H57" s="19" t="n">
        <v>1</v>
      </c>
      <c r="I57" s="19" t="s">
        <v>8</v>
      </c>
      <c r="J57" s="20" t="n">
        <v>200</v>
      </c>
      <c r="K57" s="20" t="n">
        <v>350</v>
      </c>
      <c r="L57" s="21" t="n">
        <f aca="false">IF($N57="Y",$H57*$J57*INDEX(Summary!$C$6:$C$8,MATCH($I57,Summary!$B$6:$B$8,0)),0)</f>
        <v>284</v>
      </c>
      <c r="M57" s="21" t="n">
        <f aca="false">IF($N57="Y",$H57*$K57*INDEX(Summary!$C$6:$C$8,MATCH($I57,Summary!$B$6:$B$8,0)),0)</f>
        <v>497</v>
      </c>
      <c r="N57" s="19" t="s">
        <v>78</v>
      </c>
      <c r="O57" s="19" t="s">
        <v>79</v>
      </c>
      <c r="P57" s="15" t="s">
        <v>88</v>
      </c>
    </row>
    <row r="58" customFormat="false" ht="15" hidden="false" customHeight="false" outlineLevel="0" collapsed="false">
      <c r="A58" s="15" t="s">
        <v>273</v>
      </c>
      <c r="B58" s="16" t="s">
        <v>31</v>
      </c>
      <c r="C58" s="17" t="s">
        <v>274</v>
      </c>
      <c r="D58" s="17" t="s">
        <v>275</v>
      </c>
      <c r="E58" s="15" t="s">
        <v>122</v>
      </c>
      <c r="F58" s="17" t="s">
        <v>114</v>
      </c>
      <c r="G58" s="18" t="s">
        <v>39</v>
      </c>
      <c r="H58" s="19" t="n">
        <v>1</v>
      </c>
      <c r="I58" s="19" t="s">
        <v>8</v>
      </c>
      <c r="J58" s="20" t="n">
        <v>150</v>
      </c>
      <c r="K58" s="20" t="n">
        <v>300</v>
      </c>
      <c r="L58" s="21" t="n">
        <f aca="false">IF($N58="Y",$H58*$J58*INDEX(Summary!$C$6:$C$8,MATCH($I58,Summary!$B$6:$B$8,0)),0)</f>
        <v>213</v>
      </c>
      <c r="M58" s="21" t="n">
        <f aca="false">IF($N58="Y",$H58*$K58*INDEX(Summary!$C$6:$C$8,MATCH($I58,Summary!$B$6:$B$8,0)),0)</f>
        <v>426</v>
      </c>
      <c r="N58" s="19" t="s">
        <v>78</v>
      </c>
      <c r="O58" s="19" t="s">
        <v>79</v>
      </c>
      <c r="P58" s="15" t="s">
        <v>88</v>
      </c>
    </row>
    <row r="59" customFormat="false" ht="15" hidden="false" customHeight="false" outlineLevel="0" collapsed="false">
      <c r="A59" s="15" t="s">
        <v>276</v>
      </c>
      <c r="B59" s="16" t="s">
        <v>31</v>
      </c>
      <c r="C59" s="17" t="s">
        <v>277</v>
      </c>
      <c r="D59" s="17" t="s">
        <v>278</v>
      </c>
      <c r="E59" s="15" t="s">
        <v>76</v>
      </c>
      <c r="F59" s="17" t="s">
        <v>279</v>
      </c>
      <c r="G59" s="18" t="s">
        <v>40</v>
      </c>
      <c r="H59" s="19" t="n">
        <v>1</v>
      </c>
      <c r="I59" s="19" t="s">
        <v>8</v>
      </c>
      <c r="J59" s="20" t="n">
        <v>250</v>
      </c>
      <c r="K59" s="20" t="n">
        <v>450</v>
      </c>
      <c r="L59" s="21" t="n">
        <f aca="false">IF($N59="Y",$H59*$J59*INDEX(Summary!$C$6:$C$8,MATCH($I59,Summary!$B$6:$B$8,0)),0)</f>
        <v>355</v>
      </c>
      <c r="M59" s="21" t="n">
        <f aca="false">IF($N59="Y",$H59*$K59*INDEX(Summary!$C$6:$C$8,MATCH($I59,Summary!$B$6:$B$8,0)),0)</f>
        <v>639</v>
      </c>
      <c r="N59" s="19" t="s">
        <v>78</v>
      </c>
      <c r="O59" s="19" t="s">
        <v>79</v>
      </c>
      <c r="P59" s="15" t="s">
        <v>88</v>
      </c>
    </row>
    <row r="60" customFormat="false" ht="15" hidden="false" customHeight="false" outlineLevel="0" collapsed="false">
      <c r="A60" s="15" t="s">
        <v>280</v>
      </c>
      <c r="B60" s="16" t="s">
        <v>31</v>
      </c>
      <c r="C60" s="17" t="s">
        <v>281</v>
      </c>
      <c r="D60" s="17" t="s">
        <v>282</v>
      </c>
      <c r="E60" s="15" t="s">
        <v>167</v>
      </c>
      <c r="F60" s="17" t="s">
        <v>7</v>
      </c>
      <c r="G60" s="18" t="s">
        <v>39</v>
      </c>
      <c r="H60" s="19" t="n">
        <v>1</v>
      </c>
      <c r="I60" s="19" t="s">
        <v>6</v>
      </c>
      <c r="J60" s="20" t="n">
        <v>0</v>
      </c>
      <c r="K60" s="20" t="n">
        <v>0</v>
      </c>
      <c r="L60" s="21" t="n">
        <f aca="false">IF($N60="Y",$H60*$J60*INDEX(Summary!$C$6:$C$8,MATCH($I60,Summary!$B$6:$B$8,0)),0)</f>
        <v>0</v>
      </c>
      <c r="M60" s="21" t="n">
        <f aca="false">IF($N60="Y",$H60*$K60*INDEX(Summary!$C$6:$C$8,MATCH($I60,Summary!$B$6:$B$8,0)),0)</f>
        <v>0</v>
      </c>
      <c r="N60" s="19" t="s">
        <v>78</v>
      </c>
      <c r="O60" s="19" t="s">
        <v>167</v>
      </c>
      <c r="P60" s="15" t="s">
        <v>88</v>
      </c>
    </row>
    <row r="61" customFormat="false" ht="23.85" hidden="false" customHeight="false" outlineLevel="0" collapsed="false">
      <c r="A61" s="15" t="s">
        <v>283</v>
      </c>
      <c r="B61" s="16" t="s">
        <v>32</v>
      </c>
      <c r="C61" s="17" t="s">
        <v>284</v>
      </c>
      <c r="D61" s="17" t="s">
        <v>285</v>
      </c>
      <c r="E61" s="15" t="s">
        <v>122</v>
      </c>
      <c r="F61" s="17" t="s">
        <v>286</v>
      </c>
      <c r="G61" s="18" t="s">
        <v>39</v>
      </c>
      <c r="H61" s="19" t="n">
        <v>1</v>
      </c>
      <c r="I61" s="19" t="s">
        <v>8</v>
      </c>
      <c r="J61" s="20" t="n">
        <v>150</v>
      </c>
      <c r="K61" s="20" t="n">
        <v>350</v>
      </c>
      <c r="L61" s="21" t="n">
        <f aca="false">IF($N61="Y",$H61*$J61*INDEX(Summary!$C$6:$C$8,MATCH($I61,Summary!$B$6:$B$8,0)),0)</f>
        <v>213</v>
      </c>
      <c r="M61" s="21" t="n">
        <f aca="false">IF($N61="Y",$H61*$K61*INDEX(Summary!$C$6:$C$8,MATCH($I61,Summary!$B$6:$B$8,0)),0)</f>
        <v>497</v>
      </c>
      <c r="N61" s="19" t="s">
        <v>78</v>
      </c>
      <c r="O61" s="19" t="s">
        <v>79</v>
      </c>
      <c r="P61" s="15" t="s">
        <v>88</v>
      </c>
    </row>
    <row r="62" customFormat="false" ht="23.85" hidden="false" customHeight="false" outlineLevel="0" collapsed="false">
      <c r="A62" s="15" t="s">
        <v>287</v>
      </c>
      <c r="B62" s="16" t="s">
        <v>32</v>
      </c>
      <c r="C62" s="17" t="s">
        <v>288</v>
      </c>
      <c r="D62" s="17" t="s">
        <v>289</v>
      </c>
      <c r="E62" s="15" t="s">
        <v>76</v>
      </c>
      <c r="F62" s="17" t="s">
        <v>290</v>
      </c>
      <c r="G62" s="18" t="s">
        <v>39</v>
      </c>
      <c r="H62" s="19" t="n">
        <v>1</v>
      </c>
      <c r="I62" s="19" t="s">
        <v>8</v>
      </c>
      <c r="J62" s="20" t="n">
        <v>1210</v>
      </c>
      <c r="K62" s="20" t="n">
        <v>1210</v>
      </c>
      <c r="L62" s="21" t="n">
        <f aca="false">IF($N62="Y",$H62*$J62*INDEX(Summary!$C$6:$C$8,MATCH($I62,Summary!$B$6:$B$8,0)),0)</f>
        <v>0</v>
      </c>
      <c r="M62" s="21" t="n">
        <f aca="false">IF($N62="Y",$H62*$K62*INDEX(Summary!$C$6:$C$8,MATCH($I62,Summary!$B$6:$B$8,0)),0)</f>
        <v>0</v>
      </c>
      <c r="N62" s="19" t="s">
        <v>93</v>
      </c>
      <c r="O62" s="19" t="s">
        <v>183</v>
      </c>
      <c r="P62" s="15" t="s">
        <v>50</v>
      </c>
    </row>
    <row r="63" customFormat="false" ht="15" hidden="false" customHeight="false" outlineLevel="0" collapsed="false">
      <c r="A63" s="15" t="s">
        <v>291</v>
      </c>
      <c r="B63" s="16" t="s">
        <v>32</v>
      </c>
      <c r="C63" s="17" t="s">
        <v>292</v>
      </c>
      <c r="D63" s="17" t="s">
        <v>293</v>
      </c>
      <c r="E63" s="15" t="s">
        <v>76</v>
      </c>
      <c r="F63" s="17" t="s">
        <v>294</v>
      </c>
      <c r="G63" s="18" t="s">
        <v>40</v>
      </c>
      <c r="H63" s="19" t="n">
        <v>1</v>
      </c>
      <c r="I63" s="19" t="s">
        <v>8</v>
      </c>
      <c r="J63" s="20" t="n">
        <v>250</v>
      </c>
      <c r="K63" s="20" t="n">
        <v>400</v>
      </c>
      <c r="L63" s="21" t="n">
        <f aca="false">IF($N63="Y",$H63*$J63*INDEX(Summary!$C$6:$C$8,MATCH($I63,Summary!$B$6:$B$8,0)),0)</f>
        <v>355</v>
      </c>
      <c r="M63" s="21" t="n">
        <f aca="false">IF($N63="Y",$H63*$K63*INDEX(Summary!$C$6:$C$8,MATCH($I63,Summary!$B$6:$B$8,0)),0)</f>
        <v>568</v>
      </c>
      <c r="N63" s="19" t="s">
        <v>78</v>
      </c>
      <c r="O63" s="19" t="s">
        <v>79</v>
      </c>
      <c r="P63" s="15" t="s">
        <v>88</v>
      </c>
    </row>
    <row r="64" customFormat="false" ht="15" hidden="false" customHeight="false" outlineLevel="0" collapsed="false">
      <c r="A64" s="15" t="s">
        <v>295</v>
      </c>
      <c r="B64" s="16" t="s">
        <v>33</v>
      </c>
      <c r="C64" s="17" t="s">
        <v>296</v>
      </c>
      <c r="D64" s="17"/>
      <c r="E64" s="15" t="s">
        <v>76</v>
      </c>
      <c r="F64" s="17" t="s">
        <v>7</v>
      </c>
      <c r="G64" s="18" t="s">
        <v>39</v>
      </c>
      <c r="H64" s="19" t="n">
        <v>1</v>
      </c>
      <c r="I64" s="19" t="s">
        <v>6</v>
      </c>
      <c r="J64" s="20" t="n">
        <v>500</v>
      </c>
      <c r="K64" s="20" t="n">
        <v>1000</v>
      </c>
      <c r="L64" s="21" t="n">
        <f aca="false">IF($N64="Y",$H64*$J64*INDEX(Summary!$C$6:$C$8,MATCH($I64,Summary!$B$6:$B$8,0)),0)</f>
        <v>500</v>
      </c>
      <c r="M64" s="21" t="n">
        <f aca="false">IF($N64="Y",$H64*$K64*INDEX(Summary!$C$6:$C$8,MATCH($I64,Summary!$B$6:$B$8,0)),0)</f>
        <v>1000</v>
      </c>
      <c r="N64" s="19" t="s">
        <v>78</v>
      </c>
      <c r="O64" s="19" t="s">
        <v>79</v>
      </c>
      <c r="P64" s="15" t="s">
        <v>50</v>
      </c>
    </row>
    <row r="65" customFormat="false" ht="23.85" hidden="false" customHeight="false" outlineLevel="0" collapsed="false">
      <c r="A65" s="15" t="s">
        <v>297</v>
      </c>
      <c r="B65" s="16" t="s">
        <v>33</v>
      </c>
      <c r="C65" s="17" t="s">
        <v>298</v>
      </c>
      <c r="D65" s="17"/>
      <c r="E65" s="15" t="s">
        <v>76</v>
      </c>
      <c r="F65" s="17" t="s">
        <v>114</v>
      </c>
      <c r="G65" s="18" t="s">
        <v>39</v>
      </c>
      <c r="H65" s="19" t="n">
        <v>1</v>
      </c>
      <c r="I65" s="19" t="s">
        <v>8</v>
      </c>
      <c r="J65" s="20" t="n">
        <v>150</v>
      </c>
      <c r="K65" s="20" t="n">
        <v>300</v>
      </c>
      <c r="L65" s="21" t="n">
        <f aca="false">IF($N65="Y",$H65*$J65*INDEX(Summary!$C$6:$C$8,MATCH($I65,Summary!$B$6:$B$8,0)),0)</f>
        <v>213</v>
      </c>
      <c r="M65" s="21" t="n">
        <f aca="false">IF($N65="Y",$H65*$K65*INDEX(Summary!$C$6:$C$8,MATCH($I65,Summary!$B$6:$B$8,0)),0)</f>
        <v>426</v>
      </c>
      <c r="N65" s="19" t="s">
        <v>78</v>
      </c>
      <c r="O65" s="19" t="s">
        <v>79</v>
      </c>
      <c r="P65" s="15" t="s">
        <v>88</v>
      </c>
    </row>
    <row r="66" customFormat="false" ht="23.85" hidden="false" customHeight="false" outlineLevel="0" collapsed="false">
      <c r="A66" s="15" t="s">
        <v>299</v>
      </c>
      <c r="B66" s="16" t="s">
        <v>33</v>
      </c>
      <c r="C66" s="17" t="s">
        <v>300</v>
      </c>
      <c r="D66" s="17" t="s">
        <v>301</v>
      </c>
      <c r="E66" s="15" t="s">
        <v>76</v>
      </c>
      <c r="F66" s="17" t="s">
        <v>114</v>
      </c>
      <c r="G66" s="18" t="s">
        <v>39</v>
      </c>
      <c r="H66" s="19" t="n">
        <v>1</v>
      </c>
      <c r="I66" s="19" t="s">
        <v>8</v>
      </c>
      <c r="J66" s="20" t="n">
        <v>20</v>
      </c>
      <c r="K66" s="20" t="n">
        <v>50</v>
      </c>
      <c r="L66" s="21" t="n">
        <f aca="false">IF($N66="Y",$H66*$J66*INDEX(Summary!$C$6:$C$8,MATCH($I66,Summary!$B$6:$B$8,0)),0)</f>
        <v>28.4</v>
      </c>
      <c r="M66" s="21" t="n">
        <f aca="false">IF($N66="Y",$H66*$K66*INDEX(Summary!$C$6:$C$8,MATCH($I66,Summary!$B$6:$B$8,0)),0)</f>
        <v>71</v>
      </c>
      <c r="N66" s="19" t="s">
        <v>78</v>
      </c>
      <c r="O66" s="19" t="s">
        <v>79</v>
      </c>
      <c r="P66" s="15" t="s">
        <v>88</v>
      </c>
    </row>
    <row r="67" customFormat="false" ht="15" hidden="false" customHeight="false" outlineLevel="0" collapsed="false">
      <c r="A67" s="15" t="s">
        <v>302</v>
      </c>
      <c r="B67" s="16" t="s">
        <v>33</v>
      </c>
      <c r="C67" s="17" t="s">
        <v>303</v>
      </c>
      <c r="D67" s="17" t="s">
        <v>304</v>
      </c>
      <c r="E67" s="15" t="s">
        <v>106</v>
      </c>
      <c r="F67" s="17" t="s">
        <v>7</v>
      </c>
      <c r="G67" s="18" t="s">
        <v>39</v>
      </c>
      <c r="H67" s="19" t="n">
        <v>1</v>
      </c>
      <c r="I67" s="19" t="s">
        <v>8</v>
      </c>
      <c r="J67" s="20" t="n">
        <v>0</v>
      </c>
      <c r="K67" s="20" t="n">
        <v>800</v>
      </c>
      <c r="L67" s="21" t="n">
        <f aca="false">IF($N67="Y",$H67*$J67*INDEX(Summary!$C$6:$C$8,MATCH($I67,Summary!$B$6:$B$8,0)),0)</f>
        <v>0</v>
      </c>
      <c r="M67" s="21" t="n">
        <f aca="false">IF($N67="Y",$H67*$K67*INDEX(Summary!$C$6:$C$8,MATCH($I67,Summary!$B$6:$B$8,0)),0)</f>
        <v>0</v>
      </c>
      <c r="N67" s="19" t="s">
        <v>93</v>
      </c>
      <c r="O67" s="19" t="s">
        <v>106</v>
      </c>
      <c r="P67" s="15" t="s">
        <v>88</v>
      </c>
    </row>
    <row r="68" customFormat="false" ht="15" hidden="false" customHeight="false" outlineLevel="0" collapsed="false">
      <c r="A68" s="15" t="s">
        <v>305</v>
      </c>
      <c r="B68" s="16" t="s">
        <v>33</v>
      </c>
      <c r="C68" s="17" t="s">
        <v>306</v>
      </c>
      <c r="D68" s="17" t="s">
        <v>307</v>
      </c>
      <c r="E68" s="15" t="s">
        <v>76</v>
      </c>
      <c r="F68" s="17" t="s">
        <v>7</v>
      </c>
      <c r="G68" s="18" t="s">
        <v>39</v>
      </c>
      <c r="H68" s="19" t="n">
        <v>1</v>
      </c>
      <c r="I68" s="19" t="s">
        <v>6</v>
      </c>
      <c r="J68" s="20" t="n">
        <v>50</v>
      </c>
      <c r="K68" s="20" t="n">
        <v>150</v>
      </c>
      <c r="L68" s="21" t="n">
        <f aca="false">IF($N68="Y",$H68*$J68*INDEX(Summary!$C$6:$C$8,MATCH($I68,Summary!$B$6:$B$8,0)),0)</f>
        <v>50</v>
      </c>
      <c r="M68" s="21" t="n">
        <f aca="false">IF($N68="Y",$H68*$K68*INDEX(Summary!$C$6:$C$8,MATCH($I68,Summary!$B$6:$B$8,0)),0)</f>
        <v>150</v>
      </c>
      <c r="N68" s="19" t="s">
        <v>78</v>
      </c>
      <c r="O68" s="19" t="s">
        <v>79</v>
      </c>
      <c r="P68" s="15" t="s">
        <v>88</v>
      </c>
    </row>
    <row r="69" customFormat="false" ht="15" hidden="false" customHeight="false" outlineLevel="0" collapsed="false">
      <c r="A69" s="15" t="s">
        <v>308</v>
      </c>
      <c r="B69" s="16" t="s">
        <v>34</v>
      </c>
      <c r="C69" s="17" t="s">
        <v>309</v>
      </c>
      <c r="D69" s="17" t="s">
        <v>310</v>
      </c>
      <c r="E69" s="15" t="s">
        <v>122</v>
      </c>
      <c r="F69" s="17" t="s">
        <v>311</v>
      </c>
      <c r="G69" s="18" t="s">
        <v>38</v>
      </c>
      <c r="H69" s="19" t="n">
        <v>1</v>
      </c>
      <c r="I69" s="19" t="s">
        <v>6</v>
      </c>
      <c r="J69" s="20" t="n">
        <v>200</v>
      </c>
      <c r="K69" s="20" t="n">
        <v>500</v>
      </c>
      <c r="L69" s="21" t="n">
        <f aca="false">IF($N69="Y",$H69*$J69*INDEX(Summary!$C$6:$C$8,MATCH($I69,Summary!$B$6:$B$8,0)),0)</f>
        <v>200</v>
      </c>
      <c r="M69" s="21" t="n">
        <f aca="false">IF($N69="Y",$H69*$K69*INDEX(Summary!$C$6:$C$8,MATCH($I69,Summary!$B$6:$B$8,0)),0)</f>
        <v>500</v>
      </c>
      <c r="N69" s="19" t="s">
        <v>78</v>
      </c>
      <c r="O69" s="19" t="s">
        <v>79</v>
      </c>
      <c r="P69" s="15" t="s">
        <v>88</v>
      </c>
    </row>
    <row r="70" customFormat="false" ht="15" hidden="false" customHeight="false" outlineLevel="0" collapsed="false">
      <c r="A70" s="15" t="s">
        <v>312</v>
      </c>
      <c r="B70" s="16" t="s">
        <v>34</v>
      </c>
      <c r="C70" s="17" t="s">
        <v>313</v>
      </c>
      <c r="D70" s="17"/>
      <c r="E70" s="15" t="s">
        <v>76</v>
      </c>
      <c r="F70" s="17" t="s">
        <v>314</v>
      </c>
      <c r="G70" s="18" t="s">
        <v>41</v>
      </c>
      <c r="H70" s="19" t="n">
        <v>1</v>
      </c>
      <c r="I70" s="19" t="s">
        <v>8</v>
      </c>
      <c r="J70" s="20" t="n">
        <v>60</v>
      </c>
      <c r="K70" s="20" t="n">
        <v>120</v>
      </c>
      <c r="L70" s="21" t="n">
        <f aca="false">IF($N70="Y",$H70*$J70*INDEX(Summary!$C$6:$C$8,MATCH($I70,Summary!$B$6:$B$8,0)),0)</f>
        <v>85.2</v>
      </c>
      <c r="M70" s="21" t="n">
        <f aca="false">IF($N70="Y",$H70*$K70*INDEX(Summary!$C$6:$C$8,MATCH($I70,Summary!$B$6:$B$8,0)),0)</f>
        <v>170.4</v>
      </c>
      <c r="N70" s="19" t="s">
        <v>78</v>
      </c>
      <c r="O70" s="19" t="s">
        <v>79</v>
      </c>
      <c r="P70" s="15" t="s">
        <v>88</v>
      </c>
    </row>
    <row r="71" customFormat="false" ht="15" hidden="false" customHeight="false" outlineLevel="0" collapsed="false">
      <c r="A71" s="15" t="s">
        <v>315</v>
      </c>
      <c r="B71" s="16" t="s">
        <v>34</v>
      </c>
      <c r="C71" s="17" t="s">
        <v>316</v>
      </c>
      <c r="D71" s="17" t="s">
        <v>317</v>
      </c>
      <c r="E71" s="15" t="s">
        <v>76</v>
      </c>
      <c r="F71" s="17" t="s">
        <v>318</v>
      </c>
      <c r="G71" s="18" t="s">
        <v>41</v>
      </c>
      <c r="H71" s="19" t="n">
        <v>1</v>
      </c>
      <c r="I71" s="19" t="s">
        <v>6</v>
      </c>
      <c r="J71" s="20" t="n">
        <v>300</v>
      </c>
      <c r="K71" s="20" t="n">
        <v>500</v>
      </c>
      <c r="L71" s="21" t="n">
        <f aca="false">IF($N71="Y",$H71*$J71*INDEX(Summary!$C$6:$C$8,MATCH($I71,Summary!$B$6:$B$8,0)),0)</f>
        <v>0</v>
      </c>
      <c r="M71" s="21" t="n">
        <f aca="false">IF($N71="Y",$H71*$K71*INDEX(Summary!$C$6:$C$8,MATCH($I71,Summary!$B$6:$B$8,0)),0)</f>
        <v>0</v>
      </c>
      <c r="N71" s="19" t="s">
        <v>93</v>
      </c>
      <c r="O71" s="19" t="s">
        <v>94</v>
      </c>
      <c r="P71" s="15" t="s">
        <v>88</v>
      </c>
    </row>
    <row r="72" customFormat="false" ht="15" hidden="false" customHeight="false" outlineLevel="0" collapsed="false">
      <c r="A72" s="15" t="s">
        <v>319</v>
      </c>
      <c r="B72" s="16" t="s">
        <v>34</v>
      </c>
      <c r="C72" s="17" t="s">
        <v>320</v>
      </c>
      <c r="D72" s="17" t="s">
        <v>321</v>
      </c>
      <c r="E72" s="15" t="s">
        <v>76</v>
      </c>
      <c r="F72" s="17" t="s">
        <v>318</v>
      </c>
      <c r="G72" s="18" t="s">
        <v>41</v>
      </c>
      <c r="H72" s="19" t="n">
        <v>1</v>
      </c>
      <c r="I72" s="19" t="s">
        <v>6</v>
      </c>
      <c r="J72" s="20" t="n">
        <v>100</v>
      </c>
      <c r="K72" s="20" t="n">
        <v>200</v>
      </c>
      <c r="L72" s="21" t="n">
        <f aca="false">IF($N72="Y",$H72*$J72*INDEX(Summary!$C$6:$C$8,MATCH($I72,Summary!$B$6:$B$8,0)),0)</f>
        <v>0</v>
      </c>
      <c r="M72" s="21" t="n">
        <f aca="false">IF($N72="Y",$H72*$K72*INDEX(Summary!$C$6:$C$8,MATCH($I72,Summary!$B$6:$B$8,0)),0)</f>
        <v>0</v>
      </c>
      <c r="N72" s="19" t="s">
        <v>93</v>
      </c>
      <c r="O72" s="19" t="s">
        <v>94</v>
      </c>
      <c r="P72" s="15" t="s">
        <v>88</v>
      </c>
    </row>
    <row r="73" customFormat="false" ht="15" hidden="false" customHeight="false" outlineLevel="0" collapsed="false">
      <c r="A73" s="15" t="s">
        <v>322</v>
      </c>
      <c r="B73" s="16" t="s">
        <v>35</v>
      </c>
      <c r="C73" s="17" t="s">
        <v>323</v>
      </c>
      <c r="D73" s="17" t="s">
        <v>324</v>
      </c>
      <c r="E73" s="15" t="s">
        <v>325</v>
      </c>
      <c r="F73" s="17" t="s">
        <v>326</v>
      </c>
      <c r="G73" s="18" t="s">
        <v>39</v>
      </c>
      <c r="H73" s="19" t="n">
        <v>1</v>
      </c>
      <c r="I73" s="19" t="s">
        <v>6</v>
      </c>
      <c r="J73" s="20" t="n">
        <v>-2500</v>
      </c>
      <c r="K73" s="20" t="n">
        <v>-1000</v>
      </c>
      <c r="L73" s="21" t="n">
        <f aca="false">IF($N73="Y",$H73*$J73*INDEX(Summary!$C$6:$C$8,MATCH($I73,Summary!$B$6:$B$8,0)),0)</f>
        <v>0</v>
      </c>
      <c r="M73" s="21" t="n">
        <f aca="false">IF($N73="Y",$H73*$K73*INDEX(Summary!$C$6:$C$8,MATCH($I73,Summary!$B$6:$B$8,0)),0)</f>
        <v>0</v>
      </c>
      <c r="N73" s="19" t="s">
        <v>93</v>
      </c>
      <c r="O73" s="19" t="s">
        <v>94</v>
      </c>
      <c r="P73" s="15" t="s">
        <v>88</v>
      </c>
    </row>
    <row r="74" customFormat="false" ht="15" hidden="false" customHeight="false" outlineLevel="0" collapsed="false">
      <c r="K74" s="22" t="s">
        <v>327</v>
      </c>
      <c r="L74" s="23" t="n">
        <f aca="false">SUM(L5:L73)</f>
        <v>25067.2</v>
      </c>
      <c r="M74" s="23" t="n">
        <f aca="false">SUM(M5:M73)</f>
        <v>50088</v>
      </c>
    </row>
  </sheetData>
  <autoFilter ref="A4:P73"/>
  <conditionalFormatting sqref="A5:P73">
    <cfRule type="expression" priority="2" aboveAverage="0" equalAverage="0" bottom="0" percent="0" rank="0" text="" dxfId="7">
      <formula>$N5="N"</formula>
    </cfRule>
  </conditionalFormatting>
  <conditionalFormatting sqref="O5:O73">
    <cfRule type="expression" priority="3" aboveAverage="0" equalAverage="0" bottom="0" percent="0" rank="0" text="" dxfId="8">
      <formula>$O5="To decide"</formula>
    </cfRule>
  </conditionalFormatting>
  <dataValidations count="3">
    <dataValidation allowBlank="false" errorStyle="stop" operator="between" showDropDown="false" showErrorMessage="false" showInputMessage="false" sqref="N5:N73" type="list">
      <formula1>"Y,N"</formula1>
      <formula2>0</formula2>
    </dataValidation>
    <dataValidation allowBlank="false" errorStyle="stop" operator="between" showDropDown="false" showErrorMessage="false" showInputMessage="false" sqref="I5:I73" type="list">
      <formula1>"CAD,USD,GBP"</formula1>
      <formula2>0</formula2>
    </dataValidation>
    <dataValidation allowBlank="false" errorStyle="stop" operator="between" showDropDown="false" showErrorMessage="false" showInputMessage="false" sqref="O5:O73" type="list">
      <formula1>"Need,To decide,Option,Optional,Ordered,Have,Done"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2026-10-04T15:35:21Z</dcterms:created>
  <dc:creator>openpyxl</dc:creator>
  <dc:description/>
  <dc:language>en-US</dc:language>
  <cp:lastModifiedBy/>
  <dcterms:modified xsi:type="dcterms:W3CDTF">2026-10-04T15:35:21Z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