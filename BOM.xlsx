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mmary" sheetId="1" state="visible" r:id="rId3"/>
    <sheet name="BOM" sheetId="2" state="visible" r:id="rId4"/>
    <sheet name="CNC" sheetId="3" state="visible" r:id="rId5"/>
    <sheet name="How to use" sheetId="4" state="visible" r:id="rId6"/>
  </sheets>
  <definedNames>
    <definedName function="false" hidden="true" localSheetId="1" name="_xlnm._FilterDatabase" vbProcedure="false">BOM!$A$4:$X$247</definedName>
    <definedName function="false" hidden="true" localSheetId="2" name="_xlnm._FilterDatabase" vbProcedure="false">CNC!$A$4:$X$50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Hover/expand columns L–X for the full spec, vendor and link.</t>
        </r>
      </text>
    </comment>
    <comment ref="F4" authorId="0">
      <text>
        <r>
          <rPr>
            <sz val="10"/>
            <rFont val="Arial"/>
            <family val="2"/>
          </rPr>
          <t xml:space="preserve">Y = you already own it. Counts $0.</t>
        </r>
      </text>
    </comment>
    <comment ref="G4" authorId="0">
      <text>
        <r>
          <rPr>
            <sz val="10"/>
            <rFont val="Arial"/>
            <family val="2"/>
          </rPr>
          <t xml:space="preserve">Y = you make it. Price = material only.</t>
        </r>
      </text>
    </comment>
    <comment ref="H4" authorId="0">
      <text>
        <r>
          <rPr>
            <sz val="10"/>
            <rFont val="Arial"/>
            <family val="2"/>
          </rPr>
          <t xml:space="preserve">Real unit price in CAD. Replaces the estimate everywhere.</t>
        </r>
      </text>
    </comment>
  </commentList>
</comments>
</file>

<file path=xl/sharedStrings.xml><?xml version="1.0" encoding="utf-8"?>
<sst xmlns="http://schemas.openxmlformats.org/spreadsheetml/2006/main" count="4437" uniqueCount="1109">
  <si>
    <t xml:space="preserve">07K ZN6 Turbo Swap — Cost Summary</t>
  </si>
  <si>
    <t xml:space="preserve">All prices in CAD (USD × 1.42, GBP × 1.85 at Oct 4, 2026), before HST. Low/High = estimate range. WORKING = your actual price where you've entered one, otherwise the midpoint of the estimate. Have = Y lines count $0.</t>
  </si>
  <si>
    <t xml:space="preserve">Assumptions</t>
  </si>
  <si>
    <t xml:space="preserve">Currency</t>
  </si>
  <si>
    <t xml:space="preserve">CAD per unit</t>
  </si>
  <si>
    <t xml:space="preserve">Source</t>
  </si>
  <si>
    <t xml:space="preserve">CAD</t>
  </si>
  <si>
    <t xml:space="preserve">—</t>
  </si>
  <si>
    <t xml:space="preserve">USD</t>
  </si>
  <si>
    <t xml:space="preserve">Rate from the Oct 4, 2026 notes. Update.</t>
  </si>
  <si>
    <t xml:space="preserve">GBP</t>
  </si>
  <si>
    <t xml:space="preserve">Estimate — update before ordering from the UK.</t>
  </si>
  <si>
    <t xml:space="preserve">Contingency on unconfirmed lines</t>
  </si>
  <si>
    <t xml:space="preserve">Applied only to lines where you have NOT entered an actual price. Falls as you confirm prices.</t>
  </si>
  <si>
    <t xml:space="preserve">Gearbox route</t>
  </si>
  <si>
    <t xml:space="preserve">RX-8</t>
  </si>
  <si>
    <t xml:space="preserve">RX-8 = RX-8 gearbox + your adapter. ZN6 TL70 = keep the car's gearbox with a custom adapter. Lines tagged for the other route turn orange and drop out.</t>
  </si>
  <si>
    <t xml:space="preserve">Totals by system</t>
  </si>
  <si>
    <t xml:space="preserve">Group</t>
  </si>
  <si>
    <t xml:space="preserve">Low (CAD)</t>
  </si>
  <si>
    <t xml:space="preserve">High (CAD)</t>
  </si>
  <si>
    <t xml:space="preserve">WORKING (CAD)</t>
  </si>
  <si>
    <t xml:space="preserve">Donors</t>
  </si>
  <si>
    <t xml:space="preserve">Engine prep</t>
  </si>
  <si>
    <t xml:space="preserve">Gearbox: RX-8</t>
  </si>
  <si>
    <t xml:space="preserve">Gearbox: ZN6 TL70</t>
  </si>
  <si>
    <t xml:space="preserve">Driveline</t>
  </si>
  <si>
    <t xml:space="preserve">Mounts &amp; chassis</t>
  </si>
  <si>
    <t xml:space="preserve">Turbo</t>
  </si>
  <si>
    <t xml:space="preserve">Intake manifold (custom)</t>
  </si>
  <si>
    <t xml:space="preserve">Fuel</t>
  </si>
  <si>
    <t xml:space="preserve">ECU / electronics</t>
  </si>
  <si>
    <t xml:space="preserve">Cooling</t>
  </si>
  <si>
    <t xml:space="preserve">Oil system</t>
  </si>
  <si>
    <t xml:space="preserve">Misc</t>
  </si>
  <si>
    <t xml:space="preserve">Tools / shop</t>
  </si>
  <si>
    <t xml:space="preserve">Credit</t>
  </si>
  <si>
    <t xml:space="preserve">Totals by phase</t>
  </si>
  <si>
    <t xml:space="preserve">0 Donors</t>
  </si>
  <si>
    <t xml:space="preserve">1 Bench / run stand</t>
  </si>
  <si>
    <t xml:space="preserve">2 NA swap</t>
  </si>
  <si>
    <t xml:space="preserve">3 Turbo</t>
  </si>
  <si>
    <t xml:space="preserve">Tools</t>
  </si>
  <si>
    <t xml:space="preserve">Totals by source</t>
  </si>
  <si>
    <t xml:space="preserve">Buy</t>
  </si>
  <si>
    <t xml:space="preserve">Make</t>
  </si>
  <si>
    <t xml:space="preserve">Have</t>
  </si>
  <si>
    <t xml:space="preserve">Sell</t>
  </si>
  <si>
    <t xml:space="preserve">Budget</t>
  </si>
  <si>
    <t xml:space="preserve">Donor car (D01)</t>
  </si>
  <si>
    <t xml:space="preserve">Build parts (everything except the car)</t>
  </si>
  <si>
    <t xml:space="preserve">  of which: confirmed (actual price entered)</t>
  </si>
  <si>
    <t xml:space="preserve">  of which: still estimated</t>
  </si>
  <si>
    <t xml:space="preserve">Contingency (on the estimated part only)</t>
  </si>
  <si>
    <t xml:space="preserve">Build parts + contingency</t>
  </si>
  <si>
    <t xml:space="preserve">ALL-IN (car + parts + contingency)</t>
  </si>
  <si>
    <t xml:space="preserve">Progress</t>
  </si>
  <si>
    <t xml:space="preserve">Lines in the list (active, this route)</t>
  </si>
  <si>
    <t xml:space="preserve">Lines with an actual price entered</t>
  </si>
  <si>
    <t xml:space="preserve">Lines marked Have</t>
  </si>
  <si>
    <t xml:space="preserve">Lines marked Make</t>
  </si>
  <si>
    <t xml:space="preserve">Lines still 'To decide'</t>
  </si>
  <si>
    <t xml:space="preserve">Notes</t>
  </si>
  <si>
    <t xml:space="preserve">• Defaults: RX-8 gearbox route with the adapter plate, CSC adapter and spacers machined by you (material cost only); turbo Option B (custom manifold + Garrett G25); custom oil pan; A/C deleted; tools you can borrow are off; selling the FA20/TL70 is off.</t>
  </si>
  <si>
    <t xml:space="preserve">• Basis column: Verified = seen on the vendor page or a listing; Notes = from the Oct 4 planning notes; Estimate = rough street price — these are the ones to check.</t>
  </si>
  <si>
    <t xml:space="preserve">• HST (13%), labour, insurance, registration and safety are not included.</t>
  </si>
  <si>
    <t xml:space="preserve">CNC mill (CNC tab) — separate from the car build, NOT in ALL-IN above</t>
  </si>
  <si>
    <t xml:space="preserve">CNC mill parts (priced lines only)</t>
  </si>
  <si>
    <t xml:space="preserve">CNC mill + contingency</t>
  </si>
  <si>
    <t xml:space="preserve">Progress — CNC</t>
  </si>
  <si>
    <t xml:space="preserve">Lines in the list (included)</t>
  </si>
  <si>
    <t xml:space="preserve">Lines with a real price entered</t>
  </si>
  <si>
    <t xml:space="preserve">Lines with NO price yet (undecided)</t>
  </si>
  <si>
    <t xml:space="preserve">• The CNC tab totals only lines that have a price. 'NO price yet' lines are the ones still to source; they add nothing to the totals until you fill D/E or H.</t>
  </si>
  <si>
    <t xml:space="preserve">07K ZN6 Turbo Swap — Detailed BOM</t>
  </si>
  <si>
    <t xml:space="preserve">Fill the blue columns: Have? (Y = own it → $0), Make? (Y = you make it), MY cost (real price, CAD → overrides the estimate). Columns L–X (notes, vendor, phase, links) are hidden — click the + above column L to show them. Use the filter arrows to view one System at a time.</t>
  </si>
  <si>
    <t xml:space="preserve">ID</t>
  </si>
  <si>
    <t xml:space="preserve">Part</t>
  </si>
  <si>
    <t xml:space="preserve">Qty</t>
  </si>
  <si>
    <t xml:space="preserve">Est. low</t>
  </si>
  <si>
    <t xml:space="preserve">Est. high</t>
  </si>
  <si>
    <t xml:space="preserve">Have?</t>
  </si>
  <si>
    <t xml:space="preserve">Make?</t>
  </si>
  <si>
    <t xml:space="preserve">MY cost</t>
  </si>
  <si>
    <t xml:space="preserve">Working (CAD)</t>
  </si>
  <si>
    <t xml:space="preserve">Status</t>
  </si>
  <si>
    <t xml:space="preserve">Incl.</t>
  </si>
  <si>
    <t xml:space="preserve">System</t>
  </si>
  <si>
    <t xml:space="preserve">Sub-assembly</t>
  </si>
  <si>
    <t xml:space="preserve">Spec / notes</t>
  </si>
  <si>
    <t xml:space="preserve">Unit</t>
  </si>
  <si>
    <t xml:space="preserve">Cur</t>
  </si>
  <si>
    <t xml:space="preserve">Vendor / ref</t>
  </si>
  <si>
    <t xml:space="preserve">Phase</t>
  </si>
  <si>
    <t xml:space="preserve">Route</t>
  </si>
  <si>
    <t xml:space="preserve">Ext low (CAD)</t>
  </si>
  <si>
    <t xml:space="preserve">Ext high (CAD)</t>
  </si>
  <si>
    <t xml:space="preserve">Basis</t>
  </si>
  <si>
    <t xml:space="preserve">Link</t>
  </si>
  <si>
    <t xml:space="preserve">D01</t>
  </si>
  <si>
    <t xml:space="preserve">ZN6 FR-S / BRZ / 86, manual, RUNNING</t>
  </si>
  <si>
    <t xml:space="preserve">N</t>
  </si>
  <si>
    <t xml:space="preserve">Need</t>
  </si>
  <si>
    <t xml:space="preserve">Y</t>
  </si>
  <si>
    <t xml:space="preserve">Car</t>
  </si>
  <si>
    <t xml:space="preserve">Must run so the stock CAN bus can be logged before the FA20 comes out. Clean shell &gt; low km.</t>
  </si>
  <si>
    <t xml:space="preserve">ea</t>
  </si>
  <si>
    <t xml:space="preserve">Kijiji / CarGurus</t>
  </si>
  <si>
    <t xml:space="preserve">https://www.cargurus.ca/Cars/l-Used-Scion-FR-S-Toronto-d2140_L414276</t>
  </si>
  <si>
    <t xml:space="preserve">D02</t>
  </si>
  <si>
    <t xml:space="preserve">07K 2.5 engine, 2005–08 (ME7.1.1, MAF), with ECU + engine harness</t>
  </si>
  <si>
    <t xml:space="preserve">Engine</t>
  </si>
  <si>
    <t xml:space="preserve">Confirm it comes with ECU, harness, coils, injectors, alternator, intake manifold, oil pan, flywheel-end cover. 6- vs 8-bolt crank flange.</t>
  </si>
  <si>
    <t xml:space="preserve">eBay / junkyard / Marketplace</t>
  </si>
  <si>
    <t xml:space="preserve">https://www.ebay.com/itm/355614546913</t>
  </si>
  <si>
    <t xml:space="preserve">D03</t>
  </si>
  <si>
    <t xml:space="preserve">Engine freight / pickup</t>
  </si>
  <si>
    <t xml:space="preserve">Pallet freight or a trailer trip.</t>
  </si>
  <si>
    <t xml:space="preserve">Estimate</t>
  </si>
  <si>
    <t xml:space="preserve">D04</t>
  </si>
  <si>
    <t xml:space="preserve">Junk 02J bellhousing (VW 4-cyl pattern)</t>
  </si>
  <si>
    <t xml:space="preserve">Measurement</t>
  </si>
  <si>
    <t xml:space="preserve">Only for measuring the 07K bolt/dowel pattern on the mill. Resell after.</t>
  </si>
  <si>
    <t xml:space="preserve">Junkyard</t>
  </si>
  <si>
    <t xml:space="preserve">D05</t>
  </si>
  <si>
    <t xml:space="preserve">Spare 07K cylinder head (scrap) — manifold welding fixture</t>
  </si>
  <si>
    <t xml:space="preserve">Optional</t>
  </si>
  <si>
    <t xml:space="preserve">Optional. A 1/2 in steel plate drilled to the port pattern also works.</t>
  </si>
  <si>
    <t xml:space="preserve">E01</t>
  </si>
  <si>
    <t xml:space="preserve">Rear main seal (crank, flywheel end)</t>
  </si>
  <si>
    <t xml:space="preserve">Seals</t>
  </si>
  <si>
    <t xml:space="preserve">Do it while the flywheel is off — it's behind the adapter plate forever after.</t>
  </si>
  <si>
    <t xml:space="preserve">ECS / Das Parts</t>
  </si>
  <si>
    <t xml:space="preserve">E02</t>
  </si>
  <si>
    <t xml:space="preserve">Front crank seal</t>
  </si>
  <si>
    <t xml:space="preserve">E03</t>
  </si>
  <si>
    <t xml:space="preserve">Valve cover gasket</t>
  </si>
  <si>
    <t xml:space="preserve">E04</t>
  </si>
  <si>
    <t xml:space="preserve">Cam adjuster / cam plug seals</t>
  </si>
  <si>
    <t xml:space="preserve">Common 07K leak point.</t>
  </si>
  <si>
    <t xml:space="preserve">set</t>
  </si>
  <si>
    <t xml:space="preserve">E05</t>
  </si>
  <si>
    <t xml:space="preserve">Oil filter housing gasket / O-rings</t>
  </si>
  <si>
    <t xml:space="preserve">E06</t>
  </si>
  <si>
    <t xml:space="preserve">Intake manifold gaskets (5)</t>
  </si>
  <si>
    <t xml:space="preserve">E07</t>
  </si>
  <si>
    <t xml:space="preserve">Exhaust manifold gasket (OEM, for your custom flange)</t>
  </si>
  <si>
    <t xml:space="preserve">E08</t>
  </si>
  <si>
    <t xml:space="preserve">RTV sealant (oil pan, timing cover, upper pan)</t>
  </si>
  <si>
    <t xml:space="preserve">VW D176404A2 or Permatex Ultra Grey. 2 tubes.</t>
  </si>
  <si>
    <t xml:space="preserve">Any</t>
  </si>
  <si>
    <t xml:space="preserve">E09</t>
  </si>
  <si>
    <t xml:space="preserve">Water pump</t>
  </si>
  <si>
    <t xml:space="preserve">E10</t>
  </si>
  <si>
    <t xml:space="preserve">Thermostat + housing O-ring</t>
  </si>
  <si>
    <t xml:space="preserve">E11</t>
  </si>
  <si>
    <t xml:space="preserve">Timing chain kit (chains, guides, tensioners) — inspect first</t>
  </si>
  <si>
    <t xml:space="preserve">To decide</t>
  </si>
  <si>
    <t xml:space="preserve">Timing</t>
  </si>
  <si>
    <t xml:space="preserve">Chains are on the flywheel end; engine-out is the only time to do this. $0 if they look fine.</t>
  </si>
  <si>
    <t xml:space="preserve">kit</t>
  </si>
  <si>
    <t xml:space="preserve">E12</t>
  </si>
  <si>
    <t xml:space="preserve">Timing cover seal (crank side) + bolts</t>
  </si>
  <si>
    <t xml:space="preserve">E13</t>
  </si>
  <si>
    <t xml:space="preserve">Oil filter (cartridge)</t>
  </si>
  <si>
    <t xml:space="preserve">Service</t>
  </si>
  <si>
    <t xml:space="preserve">One for the first start, one for the 500 km change.</t>
  </si>
  <si>
    <t xml:space="preserve">E14</t>
  </si>
  <si>
    <t xml:space="preserve">Engine oil 5W-40 (6 L)</t>
  </si>
  <si>
    <t xml:space="preserve">Two fills: run stand + first change.</t>
  </si>
  <si>
    <t xml:space="preserve">fill</t>
  </si>
  <si>
    <t xml:space="preserve">E15</t>
  </si>
  <si>
    <t xml:space="preserve">Spark plugs (5), one step colder for turbo</t>
  </si>
  <si>
    <t xml:space="preserve">NGK BKR7E-style for boost.</t>
  </si>
  <si>
    <t xml:space="preserve">E16</t>
  </si>
  <si>
    <t xml:space="preserve">Ignition coils (5)</t>
  </si>
  <si>
    <t xml:space="preserve">Usually come with the engine. Set Have = Y if they do.</t>
  </si>
  <si>
    <t xml:space="preserve">ECS / junkyard</t>
  </si>
  <si>
    <t xml:space="preserve">E17</t>
  </si>
  <si>
    <t xml:space="preserve">Serpentine belt + tensioner</t>
  </si>
  <si>
    <t xml:space="preserve">Belt length changes if you delete A/C or move the alternator.</t>
  </si>
  <si>
    <t xml:space="preserve">E18</t>
  </si>
  <si>
    <t xml:space="preserve">SAI (secondary air) block-off plates + gaskets</t>
  </si>
  <si>
    <t xml:space="preserve">Deletes</t>
  </si>
  <si>
    <t xml:space="preserve">Software delete is in the RevMap file; plates seal the ports.</t>
  </si>
  <si>
    <t xml:space="preserve">Various</t>
  </si>
  <si>
    <t xml:space="preserve">E19</t>
  </si>
  <si>
    <t xml:space="preserve">Vacuum pump block-off — MAKE (6061 round bar 3 in × 2 in + O-ring)</t>
  </si>
  <si>
    <t xml:space="preserve">Flange + collar into the pump bore, O-ring sealed. Only if the pump hits the clutch setup.</t>
  </si>
  <si>
    <t xml:space="preserve">Metal supplier</t>
  </si>
  <si>
    <t xml:space="preserve">https://performancebyie.com/products/ie-vacuum-pump-blockoff-vw-25l-5cyl</t>
  </si>
  <si>
    <t xml:space="preserve">E20</t>
  </si>
  <si>
    <t xml:space="preserve">Vacuum pump O-ring (if keeping the pump)</t>
  </si>
  <si>
    <t xml:space="preserve">ECS</t>
  </si>
  <si>
    <t xml:space="preserve">E21</t>
  </si>
  <si>
    <t xml:space="preserve">Oil catch can + 2 hoses + fittings (PCV)</t>
  </si>
  <si>
    <t xml:space="preserve">Breather</t>
  </si>
  <si>
    <t xml:space="preserve">Turbo engines push more blow-by; keep oil out of the intercooler.</t>
  </si>
  <si>
    <t xml:space="preserve">E22</t>
  </si>
  <si>
    <t xml:space="preserve">Head gasket (MLS, OEM)</t>
  </si>
  <si>
    <t xml:space="preserve">Head</t>
  </si>
  <si>
    <t xml:space="preserve">Turbo phase, or if the head comes off for inspection.</t>
  </si>
  <si>
    <t xml:space="preserve">E23</t>
  </si>
  <si>
    <t xml:space="preserve">ARP head studs, 07K</t>
  </si>
  <si>
    <t xml:space="preserve">ARP / 034</t>
  </si>
  <si>
    <t xml:space="preserve">E24</t>
  </si>
  <si>
    <t xml:space="preserve">Head bolts (OEM TTY) — alternative to studs</t>
  </si>
  <si>
    <t xml:space="preserve">Option</t>
  </si>
  <si>
    <t xml:space="preserve">Pick E23 or E24.</t>
  </si>
  <si>
    <t xml:space="preserve">E25</t>
  </si>
  <si>
    <t xml:space="preserve">Degreaser, brushes, engine paint</t>
  </si>
  <si>
    <t xml:space="preserve">Clean</t>
  </si>
  <si>
    <t xml:space="preserve">lot</t>
  </si>
  <si>
    <t xml:space="preserve">Canadian Tire</t>
  </si>
  <si>
    <t xml:space="preserve">G01</t>
  </si>
  <si>
    <t xml:space="preserve">Mazda RX-8 6-speed manual (Aisin AZ6), used</t>
  </si>
  <si>
    <t xml:space="preserve">Gearbox</t>
  </si>
  <si>
    <t xml:space="preserve">S1 2004–08. Comes with its slave, release bearing, shifter, flange. Ask for the shifter and bolts.</t>
  </si>
  <si>
    <t xml:space="preserve">eBay / JDM importer</t>
  </si>
  <si>
    <t xml:space="preserve">Verified</t>
  </si>
  <si>
    <t xml:space="preserve">https://www.ebay.com/b/Complete-Manual-Transmissions-for-Mazda-RX-8/171117/bn_1435951</t>
  </si>
  <si>
    <t xml:space="preserve">G02</t>
  </si>
  <si>
    <t xml:space="preserve">Gearbox freight</t>
  </si>
  <si>
    <t xml:space="preserve">G03</t>
  </si>
  <si>
    <t xml:space="preserve">Gear oil 75W-90 GL-4 (2 L)</t>
  </si>
  <si>
    <t xml:space="preserve">G04</t>
  </si>
  <si>
    <t xml:space="preserve">Shift knob + boot</t>
  </si>
  <si>
    <t xml:space="preserve">Stock RX-8 knob is M10×1.25 — ZN6 knob fits? check.</t>
  </si>
  <si>
    <t xml:space="preserve">G05</t>
  </si>
  <si>
    <t xml:space="preserve">MAKE: 6061-T6 plate blank, ~16 × 16 in × 1 in</t>
  </si>
  <si>
    <t xml:space="preserve">Adapter plate</t>
  </si>
  <si>
    <t xml:space="preserve">Thickness T comes from the stack-up (§13). 1 in blank, faced down. Metal Supermarkets Ottawa or online.</t>
  </si>
  <si>
    <t xml:space="preserve">Metal Supermarkets / OnlineMetals</t>
  </si>
  <si>
    <t xml:space="preserve">https://www.onlinemetals.com/en/buy/aluminum-sheet-plate-6061</t>
  </si>
  <si>
    <t xml:space="preserve">G06</t>
  </si>
  <si>
    <t xml:space="preserve">Dowel pins, hardened — VW block side (2)</t>
  </si>
  <si>
    <t xml:space="preserve">Match the 07K/02J dowel diameter (measure).</t>
  </si>
  <si>
    <t xml:space="preserve">McMaster / Fastenal</t>
  </si>
  <si>
    <t xml:space="preserve">G07</t>
  </si>
  <si>
    <t xml:space="preserve">Dowel pins, hardened — RX-8 bell side (2)</t>
  </si>
  <si>
    <t xml:space="preserve">Match the RX-8 bellhousing dowel diameter (measure).</t>
  </si>
  <si>
    <t xml:space="preserve">G08</t>
  </si>
  <si>
    <t xml:space="preserve">Offset dowels (contingency, if runout &gt; 0.005 in)</t>
  </si>
  <si>
    <t xml:space="preserve">Summit / RobbMc</t>
  </si>
  <si>
    <t xml:space="preserve">https://americanpowertrain.com/general-bellhousing-alignment-instructions/</t>
  </si>
  <si>
    <t xml:space="preserve">G09</t>
  </si>
  <si>
    <t xml:space="preserve">Chucking reamer(s) for the dowel sizes</t>
  </si>
  <si>
    <t xml:space="preserve">Check if Brunsfield has them. $0 if so.</t>
  </si>
  <si>
    <t xml:space="preserve">KBC / McMaster</t>
  </si>
  <si>
    <t xml:space="preserve">G10</t>
  </si>
  <si>
    <t xml:space="preserve">Bolts block→plate: M10 or M12 10.9 socket cap, with washers (~8)</t>
  </si>
  <si>
    <t xml:space="preserve">Lengths depend on T.</t>
  </si>
  <si>
    <t xml:space="preserve">Fastenal / McMaster</t>
  </si>
  <si>
    <t xml:space="preserve">G11</t>
  </si>
  <si>
    <t xml:space="preserve">Bolts bell→plate: M10 10.9 cap + nyloc nuts (~8)</t>
  </si>
  <si>
    <t xml:space="preserve">Through-bolts with nuts avoid tapping the plate.</t>
  </si>
  <si>
    <t xml:space="preserve">G12</t>
  </si>
  <si>
    <t xml:space="preserve">Test plate: acrylic or MDF sheet for the CEED laser (24 × 18 in)</t>
  </si>
  <si>
    <t xml:space="preserve">Prove both bolt patterns and the starter position before cutting aluminium.</t>
  </si>
  <si>
    <t xml:space="preserve">CEED Makerstore</t>
  </si>
  <si>
    <t xml:space="preserve">G13</t>
  </si>
  <si>
    <t xml:space="preserve">ALT: buy RX8 Gearbox Adapters plate RX8002 (upright)</t>
  </si>
  <si>
    <t xml:space="preserve">Proven on a 07K. Off because you're making your own.</t>
  </si>
  <si>
    <t xml:space="preserve">RX8 Gearbox Adapters</t>
  </si>
  <si>
    <t xml:space="preserve">https://www.rx8gearboxadapters.com/product-page/vw-pd-1-8t-20v-vertically-mounted</t>
  </si>
  <si>
    <t xml:space="preserve">G14</t>
  </si>
  <si>
    <t xml:space="preserve">ALT: their bolt kit RX8027</t>
  </si>
  <si>
    <t xml:space="preserve">https://www.rx8gearboxadapters.com/product-page/vw-pd-1-8t-bolt-kit-rx8027</t>
  </si>
  <si>
    <t xml:space="preserve">G15</t>
  </si>
  <si>
    <t xml:space="preserve">Valeo single-mass flywheel conversion kit, Audi B5/B6 A4 1.8T 5-spd (228 mm)</t>
  </si>
  <si>
    <t xml:space="preserve">Flywheel / clutch</t>
  </si>
  <si>
    <t xml:space="preserve">Flywheel + pressure plate + bolts. The kit's own disc has the Audi spline and is NOT used. 07K shares the 1.8T flywheel pattern.</t>
  </si>
  <si>
    <t xml:space="preserve">ECS / Europa Parts</t>
  </si>
  <si>
    <t xml:space="preserve">https://www.ecstuning.com/b-ecs-parts/ra4-single-mass-flywheel-kit/ecs212321b5kt/</t>
  </si>
  <si>
    <t xml:space="preserve">G16</t>
  </si>
  <si>
    <t xml:space="preserve">Flywheel-to-crank bolts (TTY, new) — if not in the kit</t>
  </si>
  <si>
    <t xml:space="preserve">G17</t>
  </si>
  <si>
    <t xml:space="preserve">Pressure plate bolts (if not in kit)</t>
  </si>
  <si>
    <t xml:space="preserve">G18</t>
  </si>
  <si>
    <t xml:space="preserve">Clutch disc 228 mm, 1 in × 23-spline (Ford spline), HD organic</t>
  </si>
  <si>
    <t xml:space="preserve">Fits the RX-8 input shaft.</t>
  </si>
  <si>
    <t xml:space="preserve">QED Motorsport / Summit (Ford 23-spline)</t>
  </si>
  <si>
    <t xml:space="preserve">https://qedmotorsport.co.uk/product/clutch-plate-228mm-1-x-23-spline-ford-box-heavy-duty-organic-helix/</t>
  </si>
  <si>
    <t xml:space="preserve">G19</t>
  </si>
  <si>
    <t xml:space="preserve">Spigot (pilot) bearing for the RX-8 input shaft nose</t>
  </si>
  <si>
    <t xml:space="preserve">RX8 Gearbox Adapters RX8017 (£10) or the same bearing by size locally.</t>
  </si>
  <si>
    <t xml:space="preserve">RX8 Gearbox Adapters / bearing shop</t>
  </si>
  <si>
    <t xml:space="preserve">https://www.rx8gearboxadapters.com/product-page/rx8-spigot-bearing-rx8017</t>
  </si>
  <si>
    <t xml:space="preserve">G20</t>
  </si>
  <si>
    <t xml:space="preserve">Clutch alignment tool — 3D print (VW pilot dia / 23-spline)</t>
  </si>
  <si>
    <t xml:space="preserve">X1C</t>
  </si>
  <si>
    <t xml:space="preserve">G21</t>
  </si>
  <si>
    <t xml:space="preserve">Flywheel balance (shop) — optional</t>
  </si>
  <si>
    <t xml:space="preserve">Valeo kit is balanced; only if you machine the flywheel.</t>
  </si>
  <si>
    <t xml:space="preserve">Balance shop</t>
  </si>
  <si>
    <t xml:space="preserve">G22</t>
  </si>
  <si>
    <t xml:space="preserve">Starter: Audi A4 B6 1.9 TDI 5-spd manual (068911024F)</t>
  </si>
  <si>
    <t xml:space="preserve">Starter</t>
  </si>
  <si>
    <t xml:space="preserve">Mounts on the adapter plate. Used → new aftermarket.</t>
  </si>
  <si>
    <t xml:space="preserve">eBay / Autodoc / Rock Auto</t>
  </si>
  <si>
    <t xml:space="preserve">https://www.ebay.co.uk/p/1509332173</t>
  </si>
  <si>
    <t xml:space="preserve">G23</t>
  </si>
  <si>
    <t xml:space="preserve">Starter bolts (M10 10.9) + spacer if needed</t>
  </si>
  <si>
    <t xml:space="preserve">Fastenal</t>
  </si>
  <si>
    <t xml:space="preserve">G24</t>
  </si>
  <si>
    <t xml:space="preserve">Starter cable 2 AWG + lugs + solenoid trigger wire</t>
  </si>
  <si>
    <t xml:space="preserve">Battery is in the ZN6 bay; short run.</t>
  </si>
  <si>
    <t xml:space="preserve">G25</t>
  </si>
  <si>
    <t xml:space="preserve">Concentric slave cylinder (CSC) unit</t>
  </si>
  <si>
    <t xml:space="preserve">Clutch release</t>
  </si>
  <si>
    <t xml:space="preserve">Cheap OE-style CSC whose bore clears the RX-8 snout, or Tilton 6100/1000 universal (US$370–460).</t>
  </si>
  <si>
    <t xml:space="preserve">Rock Auto / Tilton / Summit</t>
  </si>
  <si>
    <t xml:space="preserve">https://www.speedwaymotors.com/Tilton-60-6100-Flat-Face-Hydraulic-Release-Bearing-Universal,413901.html</t>
  </si>
  <si>
    <t xml:space="preserve">G26</t>
  </si>
  <si>
    <t xml:space="preserve">MAKE: CSC mounting adapter — 6061 round bar 5 in × 2 in</t>
  </si>
  <si>
    <t xml:space="preserve">Lathe: bore over the input snout + CSC seat in one chucking; mill the M8/M6 patterns.</t>
  </si>
  <si>
    <t xml:space="preserve">Metal Supermarkets</t>
  </si>
  <si>
    <t xml:space="preserve">G27</t>
  </si>
  <si>
    <t xml:space="preserve">MAKE: CSC spacer shims — 6061 sheet 1 / 2 / 3 mm</t>
  </si>
  <si>
    <t xml:space="preserve">Set bearing-to-finger gap. Measure, don't guess.</t>
  </si>
  <si>
    <t xml:space="preserve">G28</t>
  </si>
  <si>
    <t xml:space="preserve">ALT: RX8 Gearbox Adapters 6-spd CSC kit RX8032 (CSC + adapter + shims)</t>
  </si>
  <si>
    <t xml:space="preserve">£230 for everything in G25–G27. Off because you're making it — but compare against your CSC price.</t>
  </si>
  <si>
    <t xml:space="preserve">https://www.rx8gearboxadapters.com/product-page/rx8-6-speed-concentric-slave-cylinder-set-up</t>
  </si>
  <si>
    <t xml:space="preserve">G29</t>
  </si>
  <si>
    <t xml:space="preserve">Clutch hydraulic line: -3 AN PTFE hose, 1.5 m</t>
  </si>
  <si>
    <t xml:space="preserve">CSC → ZN6 clutch master.</t>
  </si>
  <si>
    <t xml:space="preserve">AN supplier</t>
  </si>
  <si>
    <t xml:space="preserve">G30</t>
  </si>
  <si>
    <t xml:space="preserve">-3 AN hose ends (2) + adapter to the ZN6 master (M10×1.0 bubble flare → -3)</t>
  </si>
  <si>
    <t xml:space="preserve">G31</t>
  </si>
  <si>
    <t xml:space="preserve">Remote bleeder + bulkhead fitting</t>
  </si>
  <si>
    <t xml:space="preserve">CSC is inside the bell; bleed from outside.</t>
  </si>
  <si>
    <t xml:space="preserve">G32</t>
  </si>
  <si>
    <t xml:space="preserve">Clutch master cylinder: ZN6 stock</t>
  </si>
  <si>
    <t xml:space="preserve">Check throw vs CSC stroke; a 3/4 in master was needed on a similar swap.</t>
  </si>
  <si>
    <t xml:space="preserve">G33</t>
  </si>
  <si>
    <t xml:space="preserve">ALT: larger clutch master (Wilwood 3/4 in) if throw is short</t>
  </si>
  <si>
    <t xml:space="preserve">Wilwood</t>
  </si>
  <si>
    <t xml:space="preserve">G34</t>
  </si>
  <si>
    <t xml:space="preserve">Dial indicator + magnetic base (bellhousing runout check)</t>
  </si>
  <si>
    <t xml:space="preserve">Measuring</t>
  </si>
  <si>
    <t xml:space="preserve">Brunsfield should have one → Have.</t>
  </si>
  <si>
    <t xml:space="preserve">Princess Auto</t>
  </si>
  <si>
    <t xml:space="preserve">T01</t>
  </si>
  <si>
    <t xml:space="preserve">Stock ZN6 TL70 6-speed</t>
  </si>
  <si>
    <t xml:space="preserve">Comes with the car.</t>
  </si>
  <si>
    <t xml:space="preserve">ZN6 TL70</t>
  </si>
  <si>
    <t xml:space="preserve">T02</t>
  </si>
  <si>
    <t xml:space="preserve">MAKE: 6061-T6 plate blank ~16 × 16 in × 1 in</t>
  </si>
  <si>
    <t xml:space="preserve">Same plate idea; TL70 bell pattern on the gearbox side (no CAD exists — measure).</t>
  </si>
  <si>
    <t xml:space="preserve">T03</t>
  </si>
  <si>
    <t xml:space="preserve">Dowels (4) + bolts/nuts (~16) + test plate</t>
  </si>
  <si>
    <t xml:space="preserve">McMaster / CEED</t>
  </si>
  <si>
    <t xml:space="preserve">T04</t>
  </si>
  <si>
    <t xml:space="preserve">Flywheel: re-drill stock ZN6 flywheel to the 07K pattern + pilot pocket + balance</t>
  </si>
  <si>
    <t xml:space="preserve">Or an Audi SMF machined for the ZN6 clutch. Shop work.</t>
  </si>
  <si>
    <t xml:space="preserve">Machine/balance shop</t>
  </si>
  <si>
    <t xml:space="preserve">T05</t>
  </si>
  <si>
    <t xml:space="preserve">ZN6 clutch kit (stock, comes with car) — upgrade later for 280 lb-ft</t>
  </si>
  <si>
    <t xml:space="preserve">T06</t>
  </si>
  <si>
    <t xml:space="preserve">Pilot bearing for the TL70 input nose (in the custom flywheel)</t>
  </si>
  <si>
    <t xml:space="preserve">Toyota/Subaru OEM</t>
  </si>
  <si>
    <t xml:space="preserve">T07</t>
  </si>
  <si>
    <t xml:space="preserve">Starter: ZN6 stock (bolts to the TL70 bell)</t>
  </si>
  <si>
    <t xml:space="preserve">T08</t>
  </si>
  <si>
    <t xml:space="preserve">ZN6 fork, slave, release bearing — stock</t>
  </si>
  <si>
    <t xml:space="preserve">L01</t>
  </si>
  <si>
    <t xml:space="preserve">Custom one-piece driveshaft (shop): tube + 2 U-joints + yoke/flange to suit gearbox output + ZN6 diff flange, balanced</t>
  </si>
  <si>
    <t xml:space="preserve">Driveshaft</t>
  </si>
  <si>
    <t xml:space="preserve">Do the length / critical-speed math; let the shop build it.</t>
  </si>
  <si>
    <t xml:space="preserve">Driveshaft shop (Ottawa)</t>
  </si>
  <si>
    <t xml:space="preserve">L02</t>
  </si>
  <si>
    <t xml:space="preserve">Diff flange bolts (ZN6, new)</t>
  </si>
  <si>
    <t xml:space="preserve">Toyota/Subaru</t>
  </si>
  <si>
    <t xml:space="preserve">L03</t>
  </si>
  <si>
    <t xml:space="preserve">ZN6 Torsen diff + axles — stock</t>
  </si>
  <si>
    <t xml:space="preserve">Differential</t>
  </si>
  <si>
    <t xml:space="preserve">L04</t>
  </si>
  <si>
    <t xml:space="preserve">Driveshaft safety loop (track)</t>
  </si>
  <si>
    <t xml:space="preserve">M01</t>
  </si>
  <si>
    <t xml:space="preserve">MAKE: steel plate 1/4 in + 3/16 in for mount brackets (2)</t>
  </si>
  <si>
    <t xml:space="preserve">Engine mounts</t>
  </si>
  <si>
    <t xml:space="preserve">TIG weld at Brunsfield.</t>
  </si>
  <si>
    <t xml:space="preserve">M02</t>
  </si>
  <si>
    <t xml:space="preserve">Rubber/poly isolators (2) — OEM-style or universal</t>
  </si>
  <si>
    <t xml:space="preserve">e.g. Energy Suspension universal or reuse 07K front mount bushings.</t>
  </si>
  <si>
    <t xml:space="preserve">Summit / Energy Suspension</t>
  </si>
  <si>
    <t xml:space="preserve">M03</t>
  </si>
  <si>
    <t xml:space="preserve">Mount hardware: M10/M12 10.9 bolts, nyloc nuts, washers</t>
  </si>
  <si>
    <t xml:space="preserve">M04</t>
  </si>
  <si>
    <t xml:space="preserve">MAKE: trans crossmember — 1.5 in × 0.120 steel tube + 3/16 plate</t>
  </si>
  <si>
    <t xml:space="preserve">Trans mount</t>
  </si>
  <si>
    <t xml:space="preserve">M05</t>
  </si>
  <si>
    <t xml:space="preserve">Trans mount isolator (poly, universal)</t>
  </si>
  <si>
    <t xml:space="preserve">Energy Suspension / Vibra-Technics</t>
  </si>
  <si>
    <t xml:space="preserve">M06</t>
  </si>
  <si>
    <t xml:space="preserve">TIG filler ER70S-2 (1 lb) + argon</t>
  </si>
  <si>
    <t xml:space="preserve">Welding</t>
  </si>
  <si>
    <t xml:space="preserve">Brunsfield may supply gas → set Have.</t>
  </si>
  <si>
    <t xml:space="preserve">Praxair / Brunsfield</t>
  </si>
  <si>
    <t xml:space="preserve">M07</t>
  </si>
  <si>
    <t xml:space="preserve">Cutting discs, flap discs, drill bits</t>
  </si>
  <si>
    <t xml:space="preserve">M08</t>
  </si>
  <si>
    <t xml:space="preserve">Tunnel / firewall clearance sheet metal (16 ga steel), if needed</t>
  </si>
  <si>
    <t xml:space="preserve">Tunnel</t>
  </si>
  <si>
    <t xml:space="preserve">Longer engine + RX-8 shifter position. $0 if it clears.</t>
  </si>
  <si>
    <t xml:space="preserve">M09</t>
  </si>
  <si>
    <t xml:space="preserve">Shifter relocation / extension (RX-8 shifter vs ZN6 tunnel hole)</t>
  </si>
  <si>
    <t xml:space="preserve">Shifter</t>
  </si>
  <si>
    <t xml:space="preserve">MAKE a bracket or extension if the shifter lands wrong.</t>
  </si>
  <si>
    <t xml:space="preserve">M10</t>
  </si>
  <si>
    <t xml:space="preserve">Front subframe / steering rack clearance mods (notch + plate)</t>
  </si>
  <si>
    <t xml:space="preserve">Subframe</t>
  </si>
  <si>
    <t xml:space="preserve">Depends on the oil pan design. $0 if it clears.</t>
  </si>
  <si>
    <t xml:space="preserve">M11</t>
  </si>
  <si>
    <t xml:space="preserve">Primer + chassis paint for fabricated parts</t>
  </si>
  <si>
    <t xml:space="preserve">Paint</t>
  </si>
  <si>
    <t xml:space="preserve">U01</t>
  </si>
  <si>
    <t xml:space="preserve">Garrett G25-550 (standard rotation; try clocking housings first)</t>
  </si>
  <si>
    <t xml:space="preserve">Turbo — Option B</t>
  </si>
  <si>
    <t xml:space="preserve">Reverse-rotation version costs more and housings don't interchange.</t>
  </si>
  <si>
    <t xml:space="preserve">Garrett dealer / ATP</t>
  </si>
  <si>
    <t xml:space="preserve">https://www.garrettmotion.com/racing-and-performance/performance-turbos/</t>
  </si>
  <si>
    <t xml:space="preserve">U02</t>
  </si>
  <si>
    <t xml:space="preserve">Turbine housing V-band inlet + outlet clamps/flanges</t>
  </si>
  <si>
    <t xml:space="preserve">G25 V-band housing: 2 clamps + 2 weld flanges.</t>
  </si>
  <si>
    <t xml:space="preserve">ATP / Vibrant</t>
  </si>
  <si>
    <t xml:space="preserve">U03</t>
  </si>
  <si>
    <t xml:space="preserve">Compressor inlet/outlet: hose adapter + V-band or silicone</t>
  </si>
  <si>
    <t xml:space="preserve">U04</t>
  </si>
  <si>
    <t xml:space="preserve">ALT: Byiabed 07K → TT-RS turbo adapter plate</t>
  </si>
  <si>
    <t xml:space="preserve">Turbo — Option A</t>
  </si>
  <si>
    <t xml:space="preserve">Option A: factory RS3/TT-RS turbo + manifold in one. Transverse layout — mock up first.</t>
  </si>
  <si>
    <t xml:space="preserve">Byiabed</t>
  </si>
  <si>
    <t xml:space="preserve">https://byiabed.com/07K-25-Rabbit-to-TT-RS-Turbocharger-adapter-plate_p_143.html</t>
  </si>
  <si>
    <t xml:space="preserve">U05</t>
  </si>
  <si>
    <t xml:space="preserve">ALT: used RS3 / TT-RS K16 turbo</t>
  </si>
  <si>
    <t xml:space="preserve">Used</t>
  </si>
  <si>
    <t xml:space="preserve">U06</t>
  </si>
  <si>
    <t xml:space="preserve">MAKE: 07K header flange — 1/2 in 304 or mild steel, laser-cut from the CGTrader model</t>
  </si>
  <si>
    <t xml:space="preserve">Manifold</t>
  </si>
  <si>
    <t xml:space="preserve">SendCutSend can cut 1/2 in steel; CEED can't. Or mill it at Brunsfield from plate.</t>
  </si>
  <si>
    <t xml:space="preserve">SendCutSend / Metal Supermarkets</t>
  </si>
  <si>
    <t xml:space="preserve">https://www.cgtrader.com/3d-print-models/hobby-diy/automotive/vw-07k-exhaust-header-flange-3d-model</t>
  </si>
  <si>
    <t xml:space="preserve">U07</t>
  </si>
  <si>
    <t xml:space="preserve">304 sch10 weld els 1.5 in (5× 90°, 5× 45°)</t>
  </si>
  <si>
    <t xml:space="preserve">1.68 in ID matches the ported flange.</t>
  </si>
  <si>
    <t xml:space="preserve">Vibrant / Ace Race Parts</t>
  </si>
  <si>
    <t xml:space="preserve">U08</t>
  </si>
  <si>
    <t xml:space="preserve">304 straight tube 1.5 in sch10, 1 m</t>
  </si>
  <si>
    <t xml:space="preserve">U09</t>
  </si>
  <si>
    <t xml:space="preserve">5-into-1 merge collector (304) or MAKE</t>
  </si>
  <si>
    <t xml:space="preserve">Ace Race Parts / Burns</t>
  </si>
  <si>
    <t xml:space="preserve">U10</t>
  </si>
  <si>
    <t xml:space="preserve">Turbo inlet flange (T4 or V-band to suit G25 housing)</t>
  </si>
  <si>
    <t xml:space="preserve">U11</t>
  </si>
  <si>
    <t xml:space="preserve">Wastegate flange + V-band clamp</t>
  </si>
  <si>
    <t xml:space="preserve">Tial / Turbosmart</t>
  </si>
  <si>
    <t xml:space="preserve">U12</t>
  </si>
  <si>
    <t xml:space="preserve">TIG filler 308L / back-purge fittings for stainless</t>
  </si>
  <si>
    <t xml:space="preserve">Praxair</t>
  </si>
  <si>
    <t xml:space="preserve">U13</t>
  </si>
  <si>
    <t xml:space="preserve">External wastegate 44 mm</t>
  </si>
  <si>
    <t xml:space="preserve">Wastegate</t>
  </si>
  <si>
    <t xml:space="preserve">Tial / Turbosmart / Precision</t>
  </si>
  <si>
    <t xml:space="preserve">U14</t>
  </si>
  <si>
    <t xml:space="preserve">Wastegate dump / recirc tube (304 1.5 in)</t>
  </si>
  <si>
    <t xml:space="preserve">Vibrant</t>
  </si>
  <si>
    <t xml:space="preserve">U15</t>
  </si>
  <si>
    <t xml:space="preserve">Blow-off valve + weld flange</t>
  </si>
  <si>
    <t xml:space="preserve">BOV</t>
  </si>
  <si>
    <t xml:space="preserve">Tial / Turbosmart / GFB</t>
  </si>
  <si>
    <t xml:space="preserve">U16</t>
  </si>
  <si>
    <t xml:space="preserve">3 in 304 tube (2 m) + 2× 90° bends</t>
  </si>
  <si>
    <t xml:space="preserve">Downpipe</t>
  </si>
  <si>
    <t xml:space="preserve">U17</t>
  </si>
  <si>
    <t xml:space="preserve">3 in V-band clamp + flanges (2 sets)</t>
  </si>
  <si>
    <t xml:space="preserve">U18</t>
  </si>
  <si>
    <t xml:space="preserve">3 in flex section (bellows)</t>
  </si>
  <si>
    <t xml:space="preserve">U19</t>
  </si>
  <si>
    <t xml:space="preserve">O2 sensor bungs M18×1.5 (2)</t>
  </si>
  <si>
    <t xml:space="preserve">Wideband + stock sensor.</t>
  </si>
  <si>
    <t xml:space="preserve">U20</t>
  </si>
  <si>
    <t xml:space="preserve">Mid pipe: adapt the stock ZN6 cat-back (Have) with a 3 in → 2.5 in reducer + V-band</t>
  </si>
  <si>
    <t xml:space="preserve">Exhaust</t>
  </si>
  <si>
    <t xml:space="preserve">Keep the ZN6 muffler for now.</t>
  </si>
  <si>
    <t xml:space="preserve">U21</t>
  </si>
  <si>
    <t xml:space="preserve">ALT: full 3 in exhaust (muffler, resonator, hangers, tips)</t>
  </si>
  <si>
    <t xml:space="preserve">Vibrant / Magnaflow</t>
  </si>
  <si>
    <t xml:space="preserve">U22</t>
  </si>
  <si>
    <t xml:space="preserve">Exhaust hangers, clamps, gaskets</t>
  </si>
  <si>
    <t xml:space="preserve">U23</t>
  </si>
  <si>
    <t xml:space="preserve">Turbo blanket</t>
  </si>
  <si>
    <t xml:space="preserve">Heat</t>
  </si>
  <si>
    <t xml:space="preserve">PTP / DEI</t>
  </si>
  <si>
    <t xml:space="preserve">U24</t>
  </si>
  <si>
    <t xml:space="preserve">Exhaust wrap (15 m) + stainless ties</t>
  </si>
  <si>
    <t xml:space="preserve">Manifold + downpipe.</t>
  </si>
  <si>
    <t xml:space="preserve">DEI</t>
  </si>
  <si>
    <t xml:space="preserve">U25</t>
  </si>
  <si>
    <t xml:space="preserve">Heat shield sheet (aluminized) for firewall / brake lines / steering</t>
  </si>
  <si>
    <t xml:space="preserve">DEI / Thermo-Tec</t>
  </si>
  <si>
    <t xml:space="preserve">U26</t>
  </si>
  <si>
    <t xml:space="preserve">-4 AN PTFE oil feed line (1.2 m)</t>
  </si>
  <si>
    <t xml:space="preserve">Oil feed</t>
  </si>
  <si>
    <t xml:space="preserve">U27</t>
  </si>
  <si>
    <t xml:space="preserve">Oil feed fittings: turbo banjo/-4, restrictor (if ball-bearing), block/sandwich-plate port adapter</t>
  </si>
  <si>
    <t xml:space="preserve">ATP / AN supplier</t>
  </si>
  <si>
    <t xml:space="preserve">U28</t>
  </si>
  <si>
    <t xml:space="preserve">-10 AN oil drain hose (0.6 m) + 2 hose ends</t>
  </si>
  <si>
    <t xml:space="preserve">Oil return</t>
  </si>
  <si>
    <t xml:space="preserve">U29</t>
  </si>
  <si>
    <t xml:space="preserve">Turbo drain flange (-10) + gasket</t>
  </si>
  <si>
    <t xml:space="preserve">U30</t>
  </si>
  <si>
    <t xml:space="preserve">-10 AN weld bung for the oil pan (aluminium)</t>
  </si>
  <si>
    <t xml:space="preserve">Goes in the fabricated sump above oil level.</t>
  </si>
  <si>
    <t xml:space="preserve">U31</t>
  </si>
  <si>
    <t xml:space="preserve">Turbo coolant lines -6 AN (2× 1 m) + 4 hose ends + 2 tees into heater circuit</t>
  </si>
  <si>
    <t xml:space="preserve">Coolant</t>
  </si>
  <si>
    <t xml:space="preserve">Only if the CHRA is water-cooled (G25 is).</t>
  </si>
  <si>
    <t xml:space="preserve">U32</t>
  </si>
  <si>
    <t xml:space="preserve">Intercooler core, bar-and-plate ~24 × 12 × 3 in with end tanks</t>
  </si>
  <si>
    <t xml:space="preserve">Intercooler</t>
  </si>
  <si>
    <t xml:space="preserve">U33</t>
  </si>
  <si>
    <t xml:space="preserve">Intercooler mount brackets — MAKE (aluminium angle)</t>
  </si>
  <si>
    <t xml:space="preserve">U34</t>
  </si>
  <si>
    <t xml:space="preserve">2.5 in aluminium tube: 2× straight 1 m</t>
  </si>
  <si>
    <t xml:space="preserve">Charge pipe</t>
  </si>
  <si>
    <t xml:space="preserve">Vibrant / eBay</t>
  </si>
  <si>
    <t xml:space="preserve">U35</t>
  </si>
  <si>
    <t xml:space="preserve">2.5 in aluminium mandrel bends (4× 90°, 2× 45°)</t>
  </si>
  <si>
    <t xml:space="preserve">U36</t>
  </si>
  <si>
    <t xml:space="preserve">Silicone couplers 2.5 in (6 straight, 2 hump/reducer)</t>
  </si>
  <si>
    <t xml:space="preserve">U37</t>
  </si>
  <si>
    <t xml:space="preserve">T-bolt clamps 2.5 in</t>
  </si>
  <si>
    <t xml:space="preserve">U38</t>
  </si>
  <si>
    <t xml:space="preserve">Weld bungs: BOV flange, MAP/IAT sensor boss, 1/8 NPT boost tap</t>
  </si>
  <si>
    <t xml:space="preserve">U39</t>
  </si>
  <si>
    <t xml:space="preserve">Charge-pipe brackets — MAKE</t>
  </si>
  <si>
    <t xml:space="preserve">U40</t>
  </si>
  <si>
    <t xml:space="preserve">MAF housing: stock 07K housing (Have) — must match the tune's MAF scaling</t>
  </si>
  <si>
    <t xml:space="preserve">Intake</t>
  </si>
  <si>
    <t xml:space="preserve">Keep the stock MAF housing diameter unless the tune says otherwise.</t>
  </si>
  <si>
    <t xml:space="preserve">U41</t>
  </si>
  <si>
    <t xml:space="preserve">Air filter (cone) sized to the compressor inlet + coupler</t>
  </si>
  <si>
    <t xml:space="preserve">K&amp;N / AEM</t>
  </si>
  <si>
    <t xml:space="preserve">U42</t>
  </si>
  <si>
    <t xml:space="preserve">Intake tube MAF → turbo (3 in aluminium + couplers)</t>
  </si>
  <si>
    <t xml:space="preserve">U43</t>
  </si>
  <si>
    <t xml:space="preserve">ALT: stock 07K intake manifold (Have) if it clears the strut tower / booster</t>
  </si>
  <si>
    <t xml:space="preserve">Intake manifold</t>
  </si>
  <si>
    <t xml:space="preserve">Fallback if the custom one isn't ready. Off: building the custom RWD manifold (section N).</t>
  </si>
  <si>
    <t xml:space="preserve">U44</t>
  </si>
  <si>
    <t xml:space="preserve">ALT: RWD intake manifold (Boost Brothers / 07K community)</t>
  </si>
  <si>
    <t xml:space="preserve">Only if the stock one hits.</t>
  </si>
  <si>
    <t xml:space="preserve">Boost Brothers</t>
  </si>
  <si>
    <t xml:space="preserve">https://www.boostbrothersgarage.com/collections/944-07k-swap</t>
  </si>
  <si>
    <t xml:space="preserve">U45</t>
  </si>
  <si>
    <t xml:space="preserve">3-port boost solenoid (MAC)</t>
  </si>
  <si>
    <t xml:space="preserve">Boost control</t>
  </si>
  <si>
    <t xml:space="preserve">MAC / Turbosmart</t>
  </si>
  <si>
    <t xml:space="preserve">U46</t>
  </si>
  <si>
    <t xml:space="preserve">MAP / boost sensor per tune (e.g. 3-bar Bosch) + pigtail</t>
  </si>
  <si>
    <t xml:space="preserve">ME7 is MAF-based; the tune may still want a boost sensor for logging / safety.</t>
  </si>
  <si>
    <t xml:space="preserve">Bosch / 034</t>
  </si>
  <si>
    <t xml:space="preserve">U47</t>
  </si>
  <si>
    <t xml:space="preserve">Vacuum/boost hose (4 mm silicone, 5 m), tees, check valve, clamps</t>
  </si>
  <si>
    <t xml:space="preserve">N01</t>
  </si>
  <si>
    <t xml:space="preserve">6061-T651 plate 5/8 in x 3 in x 18 in</t>
  </si>
  <si>
    <t xml:space="preserve">Head flange</t>
  </si>
  <si>
    <t xml:space="preserve">Your flange outline, machined on the Haas. ~3.3 lb.</t>
  </si>
  <si>
    <t xml:space="preserve">Metal Supermarkets Ottawa / OnlineMetals</t>
  </si>
  <si>
    <t xml:space="preserve">N02</t>
  </si>
  <si>
    <t xml:space="preserve">6061 plate 5/16 in (or 3/8 in) x 4.5 in x 18 in</t>
  </si>
  <si>
    <t xml:space="preserve">Plenum floor</t>
  </si>
  <si>
    <t xml:space="preserve">440 x 110 floor; runner seats + bell-mouths on the Haas. Set FLOOR_T in the script to match what you buy.</t>
  </si>
  <si>
    <t xml:space="preserve">Metal Supermarkets Ottawa</t>
  </si>
  <si>
    <t xml:space="preserve">N03</t>
  </si>
  <si>
    <t xml:space="preserve">6061 plate 1/2 in x 4 in x 4 in</t>
  </si>
  <si>
    <t xml:space="preserve">Throttle body plate</t>
  </si>
  <si>
    <t xml:space="preserve">Front end plate = TB flange. Drop/offcut bin.</t>
  </si>
  <si>
    <t xml:space="preserve">N04</t>
  </si>
  <si>
    <t xml:space="preserve">5052-H32 sheet 1/8 in x 12 in x 24 in</t>
  </si>
  <si>
    <t xml:space="preserve">Walls + roof + rear</t>
  </si>
  <si>
    <t xml:space="preserve">Top wall, bottom wall, roof and rear plate all nest in one sheet (DXFs in cad/out).</t>
  </si>
  <si>
    <t xml:space="preserve">All Metals Inc / OnlineMetals / Metal Supermarkets</t>
  </si>
  <si>
    <t xml:space="preserve">https://www.onlinemetals.com/en/buy/aluminum-sheet-plate-5052</t>
  </si>
  <si>
    <t xml:space="preserve">N05</t>
  </si>
  <si>
    <t xml:space="preserve">6061-T6 round tube 2.25 in OD x 0.065 in wall, 3 ft</t>
  </si>
  <si>
    <t xml:space="preserve">Runners</t>
  </si>
  <si>
    <t xml:space="preserve">5 x 150 mm + waste. Head ends get crushed oval.</t>
  </si>
  <si>
    <t xml:space="preserve">Metal Supermarkets Ottawa / Speedy Metals</t>
  </si>
  <si>
    <t xml:space="preserve">https://www.speedymetals.com/pc-4604-8371-2-od-x-065-wall-tube-6061-t6-aluminum.aspx</t>
  </si>
  <si>
    <t xml:space="preserve">N06</t>
  </si>
  <si>
    <t xml:space="preserve">Weld-in 14 mm injector bungs (5)</t>
  </si>
  <si>
    <t xml:space="preserve">Injector bungs</t>
  </si>
  <si>
    <t xml:space="preserve">ICT Billet 551313 is an 8-pack (US$49.99); Mazworx sells singles (US$4.50).</t>
  </si>
  <si>
    <t xml:space="preserve">Mazworx / ICT Billet</t>
  </si>
  <si>
    <t xml:space="preserve">https://www.jegs.com/i/ICT-Billet/335/551313/10002/-1</t>
  </si>
  <si>
    <t xml:space="preserve">N07</t>
  </si>
  <si>
    <t xml:space="preserve">Vibrant 11170 1/8 NPT weld bung (4) + 11172 3/8 NPT (1)</t>
  </si>
  <si>
    <t xml:space="preserve">Vacuum bungs</t>
  </si>
  <si>
    <t xml:space="preserve">Top wall of the plenum.</t>
  </si>
  <si>
    <t xml:space="preserve">JEGS / Summit</t>
  </si>
  <si>
    <t xml:space="preserve">https://www.jegs.com/i/Vibrant-Performance/231/11170/10002/-1</t>
  </si>
  <si>
    <t xml:space="preserve">N08</t>
  </si>
  <si>
    <t xml:space="preserve">Brass barbs 1/8 NPT x 3/16 (5-pk), 3/8 NPT x 3/8 barb, 1/8 NPT plugs (5-pk), Loctite 565, 4 mm silicone vacuum hose 3 m</t>
  </si>
  <si>
    <t xml:space="preserve">Vacuum fittings</t>
  </si>
  <si>
    <t xml:space="preserve">Amazon / Princess Auto</t>
  </si>
  <si>
    <t xml:space="preserve">N09</t>
  </si>
  <si>
    <t xml:space="preserve">4043 TIG filler 3/32 in, 1 lb</t>
  </si>
  <si>
    <t xml:space="preserve">Also covers the sump and brackets.</t>
  </si>
  <si>
    <t xml:space="preserve">Praxair / Air Liquide</t>
  </si>
  <si>
    <t xml:space="preserve">N10</t>
  </si>
  <si>
    <t xml:space="preserve">Throttle body gasket 07K129748A</t>
  </si>
  <si>
    <t xml:space="preserve">ECS / dealer</t>
  </si>
  <si>
    <t xml:space="preserve">N11</t>
  </si>
  <si>
    <t xml:space="preserve">Injector O-ring kit (upper + lower, 5 injectors)</t>
  </si>
  <si>
    <t xml:space="preserve">ECS / Amazon</t>
  </si>
  <si>
    <t xml:space="preserve">N12</t>
  </si>
  <si>
    <t xml:space="preserve">Fuel rail: MAKE from 6061 bar 3/4 in x 1 in x 18 in, drilled through, 5 injector pockets, -6 AN ends</t>
  </si>
  <si>
    <t xml:space="preserve">Fuel rail</t>
  </si>
  <si>
    <t xml:space="preserve">Or buy a universal rail (~CAD 100–150). Needs 2 brackets to the floor plate.</t>
  </si>
  <si>
    <t xml:space="preserve">N13</t>
  </si>
  <si>
    <t xml:space="preserve">Plenum support bracket + fuel rail brackets: 6061 bar / 3 mm sheet offcuts</t>
  </si>
  <si>
    <t xml:space="preserve">Brackets</t>
  </si>
  <si>
    <t xml:space="preserve">N14</t>
  </si>
  <si>
    <t xml:space="preserve">PETG for a printed flange + plenum to test-fit in the bay</t>
  </si>
  <si>
    <t xml:space="preserve">Mock-up</t>
  </si>
  <si>
    <t xml:space="preserve">F01</t>
  </si>
  <si>
    <t xml:space="preserve">In-tank fuel pump upgrade (Walbro 255 / AEM 320 / DW300) that fits the ZN6 hanger</t>
  </si>
  <si>
    <t xml:space="preserve">Pump</t>
  </si>
  <si>
    <t xml:space="preserve">DeatschWerks / AEM</t>
  </si>
  <si>
    <t xml:space="preserve">F02</t>
  </si>
  <si>
    <t xml:space="preserve">Pump install kit (filter sock, wiring, clips)</t>
  </si>
  <si>
    <t xml:space="preserve">Usually included; $0 if so.</t>
  </si>
  <si>
    <t xml:space="preserve">F03</t>
  </si>
  <si>
    <t xml:space="preserve">Injectors 550 cc EV14 (5)</t>
  </si>
  <si>
    <t xml:space="preserve">Injectors</t>
  </si>
  <si>
    <t xml:space="preserve">300 hp ÷ 5 × BSFC 0.6 ≈ 36 lb/hr ≈ 380 cc @100% → ~475 cc @80% duty → 550 cc.</t>
  </si>
  <si>
    <t xml:space="preserve">Bosch EV14 / FIC / DW</t>
  </si>
  <si>
    <t xml:space="preserve">F04</t>
  </si>
  <si>
    <t xml:space="preserve">Injector height adapters / O-ring kit (EV14 short → 07K rail)</t>
  </si>
  <si>
    <t xml:space="preserve">Check injector length vs the 07K rail before buying.</t>
  </si>
  <si>
    <t xml:space="preserve">FIC</t>
  </si>
  <si>
    <t xml:space="preserve">F05</t>
  </si>
  <si>
    <t xml:space="preserve">Injector connector clips / pigtails (EV1 ↔ EV6 adapters if needed)</t>
  </si>
  <si>
    <t xml:space="preserve">F06</t>
  </si>
  <si>
    <t xml:space="preserve">Boost-referenced fuel pressure regulator (Aeromotive / Turbosmart)</t>
  </si>
  <si>
    <t xml:space="preserve">Regulator</t>
  </si>
  <si>
    <t xml:space="preserve">Converts the returnless 07K rail to return-style, rising rate.</t>
  </si>
  <si>
    <t xml:space="preserve">Aeromotive / Turbosmart</t>
  </si>
  <si>
    <t xml:space="preserve">F07</t>
  </si>
  <si>
    <t xml:space="preserve">-6 AN PTFE hose, feed + return (2× 3 m)</t>
  </si>
  <si>
    <t xml:space="preserve">Lines</t>
  </si>
  <si>
    <t xml:space="preserve">F08</t>
  </si>
  <si>
    <t xml:space="preserve">-6 AN PTFE hose ends (8)</t>
  </si>
  <si>
    <t xml:space="preserve">F09</t>
  </si>
  <si>
    <t xml:space="preserve">Rail adapters: 07K rail inlet → -6 AN; rail outlet / regulator fittings</t>
  </si>
  <si>
    <t xml:space="preserve">F10</t>
  </si>
  <si>
    <t xml:space="preserve">ZN6 tank hanger: return fitting / bulkhead (the ZN6 is returnless)</t>
  </si>
  <si>
    <t xml:space="preserve">Add a return bung to the hanger or use a quick-connect adapter.</t>
  </si>
  <si>
    <t xml:space="preserve">F11</t>
  </si>
  <si>
    <t xml:space="preserve">ZN6 quick-connect → -6 AN adapter at the stock hard line</t>
  </si>
  <si>
    <t xml:space="preserve">Russell / Vibrant</t>
  </si>
  <si>
    <t xml:space="preserve">F12</t>
  </si>
  <si>
    <t xml:space="preserve">Inline fuel filter 10 µm, -6 AN</t>
  </si>
  <si>
    <t xml:space="preserve">Aeromotive / Radium</t>
  </si>
  <si>
    <t xml:space="preserve">F13</t>
  </si>
  <si>
    <t xml:space="preserve">Fuel line P-clips, grommets, firewall bulkhead</t>
  </si>
  <si>
    <t xml:space="preserve">F14</t>
  </si>
  <si>
    <t xml:space="preserve">Fuel pressure gauge / sensor (0–100 psi)</t>
  </si>
  <si>
    <t xml:space="preserve">F15</t>
  </si>
  <si>
    <t xml:space="preserve">Stock 07K returnless rail + stock injectors — for the NA swap (Have)</t>
  </si>
  <si>
    <t xml:space="preserve">NA phase</t>
  </si>
  <si>
    <t xml:space="preserve">Run NA on stock fuel first; turbo fuel comes in phase 3.</t>
  </si>
  <si>
    <t xml:space="preserve">X01</t>
  </si>
  <si>
    <t xml:space="preserve">RevMap 07K swap-ready file</t>
  </si>
  <si>
    <t xml:space="preserve">Software</t>
  </si>
  <si>
    <t xml:space="preserve">RevMap</t>
  </si>
  <si>
    <t xml:space="preserve">https://revmapperformance.com/product/07k-swap-ready-file/</t>
  </si>
  <si>
    <t xml:space="preserve">X02</t>
  </si>
  <si>
    <t xml:space="preserve">RevMap immobilizer removal add-on</t>
  </si>
  <si>
    <t xml:space="preserve">X03</t>
  </si>
  <si>
    <t xml:space="preserve">Turbo tune: 034 ME7 off-the-shelf, or DIY ($0)</t>
  </si>
  <si>
    <t xml:space="preserve">034 Motorsport / DIY</t>
  </si>
  <si>
    <t xml:space="preserve">X04</t>
  </si>
  <si>
    <t xml:space="preserve">Flashing cable (OBD → ME7: Galletto / MPPS / NefMoto cable)</t>
  </si>
  <si>
    <t xml:space="preserve">eBay</t>
  </si>
  <si>
    <t xml:space="preserve">X05</t>
  </si>
  <si>
    <t xml:space="preserve">ME7.1.1 ECU — comes with the engine</t>
  </si>
  <si>
    <t xml:space="preserve">ECU</t>
  </si>
  <si>
    <t xml:space="preserve">X06</t>
  </si>
  <si>
    <t xml:space="preserve">VW drive-by-wire pedal (MK4 / B6 / B7) + pigtail</t>
  </si>
  <si>
    <t xml:space="preserve">Pedal</t>
  </si>
  <si>
    <t xml:space="preserve">X07</t>
  </si>
  <si>
    <t xml:space="preserve">Pedal mounting bracket — MAKE</t>
  </si>
  <si>
    <t xml:space="preserve">X08</t>
  </si>
  <si>
    <t xml:space="preserve">07K engine harness — comes with the engine; re-pin per RevMap 'Charles' tool</t>
  </si>
  <si>
    <t xml:space="preserve">Engine harness</t>
  </si>
  <si>
    <t xml:space="preserve">https://charles.revmapperformance.com/</t>
  </si>
  <si>
    <t xml:space="preserve">X09</t>
  </si>
  <si>
    <t xml:space="preserve">ECU connector terminals (JPT / MQS) + seals, ~30</t>
  </si>
  <si>
    <t xml:space="preserve">Corsa-Technic / Mouser</t>
  </si>
  <si>
    <t xml:space="preserve">X10</t>
  </si>
  <si>
    <t xml:space="preserve">Terminal crimper for JPT/MQS (tool) — Have if school has one</t>
  </si>
  <si>
    <t xml:space="preserve">X11</t>
  </si>
  <si>
    <t xml:space="preserve">TXL wire: 10, 14, 16, 18, 20 AWG (25 ft each)</t>
  </si>
  <si>
    <t xml:space="preserve">Chassis harness</t>
  </si>
  <si>
    <t xml:space="preserve">roll</t>
  </si>
  <si>
    <t xml:space="preserve">Waytek / Prowire</t>
  </si>
  <si>
    <t xml:space="preserve">X12</t>
  </si>
  <si>
    <t xml:space="preserve">DR-25 heat shrink (assorted sizes) + SCL adhesive heat shrink</t>
  </si>
  <si>
    <t xml:space="preserve">Prowire / Waytek</t>
  </si>
  <si>
    <t xml:space="preserve">X13</t>
  </si>
  <si>
    <t xml:space="preserve">Deutsch DT / DTM connector kit (with pins + removal tool)</t>
  </si>
  <si>
    <t xml:space="preserve">Amazon / Waytek</t>
  </si>
  <si>
    <t xml:space="preserve">X14</t>
  </si>
  <si>
    <t xml:space="preserve">Fuse/relay box (6 relay, 10 fuse) + relays (main, fuel pump, fans ×2) + fuses</t>
  </si>
  <si>
    <t xml:space="preserve">Amazon / Bussmann</t>
  </si>
  <si>
    <t xml:space="preserve">X15</t>
  </si>
  <si>
    <t xml:space="preserve">Ring terminals, ground straps, battery lugs</t>
  </si>
  <si>
    <t xml:space="preserve">X16</t>
  </si>
  <si>
    <t xml:space="preserve">Braided loom / wire sleeving</t>
  </si>
  <si>
    <t xml:space="preserve">X17</t>
  </si>
  <si>
    <t xml:space="preserve">07K alternator — comes with engine; charge wire 4 AWG + 100 A fuse + holder</t>
  </si>
  <si>
    <t xml:space="preserve">Charging</t>
  </si>
  <si>
    <t xml:space="preserve">X18</t>
  </si>
  <si>
    <t xml:space="preserve">Teensy 4.1 (dual CAN)</t>
  </si>
  <si>
    <t xml:space="preserve">CAN bridge</t>
  </si>
  <si>
    <t xml:space="preserve">PJRC</t>
  </si>
  <si>
    <t xml:space="preserve">https://www.pjrc.com/store/teensy41.html</t>
  </si>
  <si>
    <t xml:space="preserve">X19</t>
  </si>
  <si>
    <t xml:space="preserve">CAN transceivers MCP2562 / SN65HVD230 (3)</t>
  </si>
  <si>
    <t xml:space="preserve">Digi-Key</t>
  </si>
  <si>
    <t xml:space="preserve">X20</t>
  </si>
  <si>
    <t xml:space="preserve">PCB (JLCPCB, 5 pcs) + passives + 5 V buck + 120 Ω terminators</t>
  </si>
  <si>
    <t xml:space="preserve">JLCPCB / Digi-Key</t>
  </si>
  <si>
    <t xml:space="preserve">X21</t>
  </si>
  <si>
    <t xml:space="preserve">Enclosure (3D print) + DTM connector</t>
  </si>
  <si>
    <t xml:space="preserve">X22</t>
  </si>
  <si>
    <t xml:space="preserve">CAN logger: CANable 2.0 or ESP32 + transceiver</t>
  </si>
  <si>
    <t xml:space="preserve">Log the stock ZN6 bus BEFORE pulling the FA20.</t>
  </si>
  <si>
    <t xml:space="preserve">Openlight Labs / Amazon</t>
  </si>
  <si>
    <t xml:space="preserve">X23</t>
  </si>
  <si>
    <t xml:space="preserve">Wideband controller + Bosch LSU 4.9 (14Point7 Spartan 2 / AEM 30-0300)</t>
  </si>
  <si>
    <t xml:space="preserve">Sensors</t>
  </si>
  <si>
    <t xml:space="preserve">14Point7 / AEM</t>
  </si>
  <si>
    <t xml:space="preserve">X24</t>
  </si>
  <si>
    <t xml:space="preserve">Oil pressure sensor 0–150 psi (1/8 NPT) + adapter to the 07K port</t>
  </si>
  <si>
    <t xml:space="preserve">AEM / Bosch</t>
  </si>
  <si>
    <t xml:space="preserve">X25</t>
  </si>
  <si>
    <t xml:space="preserve">Oil temperature sensor (in the sump or sandwich plate)</t>
  </si>
  <si>
    <t xml:space="preserve">X26</t>
  </si>
  <si>
    <t xml:space="preserve">Boost gauge or sensor display (or feed into the CAN bridge → cluster)</t>
  </si>
  <si>
    <t xml:space="preserve">X27</t>
  </si>
  <si>
    <t xml:space="preserve">Gauge/sensor display: small CAN/analog display or phone app via the bridge</t>
  </si>
  <si>
    <t xml:space="preserve">$0 if the bridge pushes it to the ZN6 cluster/OBD.</t>
  </si>
  <si>
    <t xml:space="preserve">X28</t>
  </si>
  <si>
    <t xml:space="preserve">Crank/cam signal stimulator (Arduino + driver) — MAKE</t>
  </si>
  <si>
    <t xml:space="preserve">Bench</t>
  </si>
  <si>
    <t xml:space="preserve">X29</t>
  </si>
  <si>
    <t xml:space="preserve">Oscilloscope — school lab (Have)</t>
  </si>
  <si>
    <t xml:space="preserve">X30</t>
  </si>
  <si>
    <t xml:space="preserve">ZN6 battery + tray — stock</t>
  </si>
  <si>
    <t xml:space="preserve">Starter / battery</t>
  </si>
  <si>
    <t xml:space="preserve">X31</t>
  </si>
  <si>
    <t xml:space="preserve">ZN6 fan control: relays driven by the bridge or a thermo switch + relay</t>
  </si>
  <si>
    <t xml:space="preserve">Fans</t>
  </si>
  <si>
    <t xml:space="preserve">X32</t>
  </si>
  <si>
    <t xml:space="preserve">A/C: keep (07K compressor + custom lines + ZN6 condenser) or delete</t>
  </si>
  <si>
    <t xml:space="preserve">A/C</t>
  </si>
  <si>
    <t xml:space="preserve">$0 = delete. Default delete.</t>
  </si>
  <si>
    <t xml:space="preserve">C01</t>
  </si>
  <si>
    <t xml:space="preserve">Radiator: ZN6 stock (Have) — try it first</t>
  </si>
  <si>
    <t xml:space="preserve">Radiator</t>
  </si>
  <si>
    <t xml:space="preserve">C02</t>
  </si>
  <si>
    <t xml:space="preserve">ALT: aluminium radiator (turbo / track)</t>
  </si>
  <si>
    <t xml:space="preserve">Mishimoto / Koyo / eBay</t>
  </si>
  <si>
    <t xml:space="preserve">C03</t>
  </si>
  <si>
    <t xml:space="preserve">Fans: ZN6 stock (Have)</t>
  </si>
  <si>
    <t xml:space="preserve">Check clearance to the longer engine.</t>
  </si>
  <si>
    <t xml:space="preserve">C04</t>
  </si>
  <si>
    <t xml:space="preserve">Silicone hose: 32 mm &amp; 38 mm 90° / 45° bends (6) + straights (2 × 1 m)</t>
  </si>
  <si>
    <t xml:space="preserve">Hoses</t>
  </si>
  <si>
    <t xml:space="preserve">eBay / Vibrant</t>
  </si>
  <si>
    <t xml:space="preserve">C05</t>
  </si>
  <si>
    <t xml:space="preserve">Reducers / hump hoses (3)</t>
  </si>
  <si>
    <t xml:space="preserve">C06</t>
  </si>
  <si>
    <t xml:space="preserve">Hose clamps (20)</t>
  </si>
  <si>
    <t xml:space="preserve">C07</t>
  </si>
  <si>
    <t xml:space="preserve">Aluminium coolant tube 32/38 mm + beaded ends — MAKE joins</t>
  </si>
  <si>
    <t xml:space="preserve">C08</t>
  </si>
  <si>
    <t xml:space="preserve">07K coolant outlet flange (Beetle-style per the MK4 guide) + O-ring</t>
  </si>
  <si>
    <t xml:space="preserve">Flanges</t>
  </si>
  <si>
    <t xml:space="preserve">C09</t>
  </si>
  <si>
    <t xml:space="preserve">Coolant flange adapter to hose — MAKE (aluminium) if the OEM flange points the wrong way</t>
  </si>
  <si>
    <t xml:space="preserve">C10</t>
  </si>
  <si>
    <t xml:space="preserve">Heater hose 5/8 in (3 m) + fittings to the ZN6 heater core</t>
  </si>
  <si>
    <t xml:space="preserve">Heater</t>
  </si>
  <si>
    <t xml:space="preserve">Keep heat; also the turbo coolant tees go here.</t>
  </si>
  <si>
    <t xml:space="preserve">C11</t>
  </si>
  <si>
    <t xml:space="preserve">Expansion tank (VW stock if it came with the engine, else universal) + cap + bracket</t>
  </si>
  <si>
    <t xml:space="preserve">Expansion</t>
  </si>
  <si>
    <t xml:space="preserve">ECS / universal</t>
  </si>
  <si>
    <t xml:space="preserve">C12</t>
  </si>
  <si>
    <t xml:space="preserve">G12/G13 coolant (2 × 3.78 L) + distilled water</t>
  </si>
  <si>
    <t xml:space="preserve">C13</t>
  </si>
  <si>
    <t xml:space="preserve">Oil cooler sandwich plate for the 07K filter housing (thermostatic)</t>
  </si>
  <si>
    <t xml:space="preserve">Oil cooler</t>
  </si>
  <si>
    <t xml:space="preserve">Check the 07K housing thread — adapter may be needed.</t>
  </si>
  <si>
    <t xml:space="preserve">Mocal / Setrab / 034</t>
  </si>
  <si>
    <t xml:space="preserve">C14</t>
  </si>
  <si>
    <t xml:space="preserve">Oil cooler core 19-row</t>
  </si>
  <si>
    <t xml:space="preserve">Mocal / Setrab / eBay</t>
  </si>
  <si>
    <t xml:space="preserve">C15</t>
  </si>
  <si>
    <t xml:space="preserve">-10 AN hose (2 × 1.5 m) + 4 hose ends</t>
  </si>
  <si>
    <t xml:space="preserve">C16</t>
  </si>
  <si>
    <t xml:space="preserve">Oil cooler mount brackets — MAKE</t>
  </si>
  <si>
    <t xml:space="preserve">O01</t>
  </si>
  <si>
    <t xml:space="preserve">Cast upper pan — comes with the engine (Have); machine to clear the subframe / rack</t>
  </si>
  <si>
    <t xml:space="preserve">Oil pan</t>
  </si>
  <si>
    <t xml:space="preserve">O02</t>
  </si>
  <si>
    <t xml:space="preserve">MAKE: lower sump — 5052 aluminium sheet 3 mm (24 × 24 in)</t>
  </si>
  <si>
    <t xml:space="preserve">Model against the ZN6 subframe scan; print a test sump first.</t>
  </si>
  <si>
    <t xml:space="preserve">https://sketchfab.com/3d-models/86-frs-brz-front-subframe-model-96c9112eee00459089a809713f6b00d2</t>
  </si>
  <si>
    <t xml:space="preserve">O03</t>
  </si>
  <si>
    <t xml:space="preserve">Trap-door baffle set (universal, 2–4 doors) or MAKE</t>
  </si>
  <si>
    <t xml:space="preserve">Moroso / Improved Racing</t>
  </si>
  <si>
    <t xml:space="preserve">O04</t>
  </si>
  <si>
    <t xml:space="preserve">Pickup tube: modify stock or MAKE (steel tube + flange)</t>
  </si>
  <si>
    <t xml:space="preserve">O05</t>
  </si>
  <si>
    <t xml:space="preserve">Drain plug bung (M14 aluminium) + magnetic plug</t>
  </si>
  <si>
    <t xml:space="preserve">O06</t>
  </si>
  <si>
    <t xml:space="preserve">Sump mounting hardware + sealant (RTV in E08)</t>
  </si>
  <si>
    <t xml:space="preserve">O07</t>
  </si>
  <si>
    <t xml:space="preserve">4043 aluminium TIG filler</t>
  </si>
  <si>
    <t xml:space="preserve">lb</t>
  </si>
  <si>
    <t xml:space="preserve">O08</t>
  </si>
  <si>
    <t xml:space="preserve">Dipstick relocation / tube (if the sump moves it)</t>
  </si>
  <si>
    <t xml:space="preserve">O09</t>
  </si>
  <si>
    <t xml:space="preserve">ALT: Boost Brothers 944 07K pan (machined upper + baffled lower)</t>
  </si>
  <si>
    <t xml:space="preserve">Only if it clears the ZN6 crossmember — measure first.</t>
  </si>
  <si>
    <t xml:space="preserve">https://www.boostbrothersgarage.com/products/944-07k-swap-oil-pan</t>
  </si>
  <si>
    <t xml:space="preserve">O10</t>
  </si>
  <si>
    <t xml:space="preserve">Accusump 2 qt + EPC valve + -10 line + mount</t>
  </si>
  <si>
    <t xml:space="preserve">Accusump</t>
  </si>
  <si>
    <t xml:space="preserve">Track insurance after the turbo goes on.</t>
  </si>
  <si>
    <t xml:space="preserve">Canton Racing</t>
  </si>
  <si>
    <t xml:space="preserve">Z01</t>
  </si>
  <si>
    <t xml:space="preserve">Brake booster vacuum: 3/8 in hose + check valve + manifold barb</t>
  </si>
  <si>
    <t xml:space="preserve">Brakes</t>
  </si>
  <si>
    <t xml:space="preserve">Needed if the vacuum pump is deleted; good idea anyway on boost.</t>
  </si>
  <si>
    <t xml:space="preserve">Z02</t>
  </si>
  <si>
    <t xml:space="preserve">Metric bolt assortment (8.8 / 10.9), M6–M12</t>
  </si>
  <si>
    <t xml:space="preserve">Hardware</t>
  </si>
  <si>
    <t xml:space="preserve">Princess Auto / Fastenal</t>
  </si>
  <si>
    <t xml:space="preserve">Z03</t>
  </si>
  <si>
    <t xml:space="preserve">Rivnuts (M6/M8) + tool</t>
  </si>
  <si>
    <t xml:space="preserve">Amazon</t>
  </si>
  <si>
    <t xml:space="preserve">Z04</t>
  </si>
  <si>
    <t xml:space="preserve">Thread locker, anti-seize, brake clean, RTV, degreaser</t>
  </si>
  <si>
    <t xml:space="preserve">Z05</t>
  </si>
  <si>
    <t xml:space="preserve">Zip ties, P-clips, Adel clamps, grommets</t>
  </si>
  <si>
    <t xml:space="preserve">Z06</t>
  </si>
  <si>
    <t xml:space="preserve">3D-print filament (PETG / ASA, 2 kg) for test plates, sump, brackets</t>
  </si>
  <si>
    <t xml:space="preserve">Printing</t>
  </si>
  <si>
    <t xml:space="preserve">kg</t>
  </si>
  <si>
    <t xml:space="preserve">Z07</t>
  </si>
  <si>
    <t xml:space="preserve">Contingency parts (things that break, lost bolts, extra fittings)</t>
  </si>
  <si>
    <t xml:space="preserve">Surprises</t>
  </si>
  <si>
    <t xml:space="preserve">W01</t>
  </si>
  <si>
    <t xml:space="preserve">MAKE: engine run stand — steel tube 1.5 in × 0.120 (12 m) + casters (4)</t>
  </si>
  <si>
    <t xml:space="preserve">Run stand</t>
  </si>
  <si>
    <t xml:space="preserve">Metal Supermarkets / Princess Auto</t>
  </si>
  <si>
    <t xml:space="preserve">W02</t>
  </si>
  <si>
    <t xml:space="preserve">Test radiator (junkyard) + fan + hoses</t>
  </si>
  <si>
    <t xml:space="preserve">Or use the ZN6's radiator temporarily.</t>
  </si>
  <si>
    <t xml:space="preserve">W03</t>
  </si>
  <si>
    <t xml:space="preserve">Fuel supply: jerry can + inline pump + filter + lines</t>
  </si>
  <si>
    <t xml:space="preserve">W04</t>
  </si>
  <si>
    <t xml:space="preserve">Switch panel (ign, start, fuel pump) + battery (use the ZN6's)</t>
  </si>
  <si>
    <t xml:space="preserve">W05</t>
  </si>
  <si>
    <t xml:space="preserve">Exhaust stub for the stand (steel pipe)</t>
  </si>
  <si>
    <t xml:space="preserve">W06</t>
  </si>
  <si>
    <t xml:space="preserve">Engine hoist + load leveler</t>
  </si>
  <si>
    <t xml:space="preserve">Lifting</t>
  </si>
  <si>
    <t xml:space="preserve">Borrow / rent if you can.</t>
  </si>
  <si>
    <t xml:space="preserve">W07</t>
  </si>
  <si>
    <t xml:space="preserve">Engine stand</t>
  </si>
  <si>
    <t xml:space="preserve">W08</t>
  </si>
  <si>
    <t xml:space="preserve">07K engine stand mount (S&amp;P)</t>
  </si>
  <si>
    <t xml:space="preserve">S&amp;P Automotive</t>
  </si>
  <si>
    <t xml:space="preserve">https://s-pautomotive.com/product/07k-engine-stand-mount/</t>
  </si>
  <si>
    <t xml:space="preserve">W09</t>
  </si>
  <si>
    <t xml:space="preserve">Torque wrench 1/2 in (if you don't have one)</t>
  </si>
  <si>
    <t xml:space="preserve">Hand tools</t>
  </si>
  <si>
    <t xml:space="preserve">W10</t>
  </si>
  <si>
    <t xml:space="preserve">AN wrench set + hose assembly tool</t>
  </si>
  <si>
    <t xml:space="preserve">W11</t>
  </si>
  <si>
    <t xml:space="preserve">Triple-square / 12-point socket set (VW bolts)</t>
  </si>
  <si>
    <t xml:space="preserve">K01</t>
  </si>
  <si>
    <t xml:space="preserve">Sell FA20 long block + harness + ECU</t>
  </si>
  <si>
    <t xml:space="preserve">Negative = money back. Off by default.</t>
  </si>
  <si>
    <t xml:space="preserve">Marketplace / FT86Club</t>
  </si>
  <si>
    <t xml:space="preserve">K02</t>
  </si>
  <si>
    <t xml:space="preserve">Sell ZN6 TL70 gearbox (RX-8 route only)</t>
  </si>
  <si>
    <t xml:space="preserve">Marketplace</t>
  </si>
  <si>
    <t xml:space="preserve">K03</t>
  </si>
  <si>
    <t xml:space="preserve">Sell FA20 exhaust manifold / intake / misc</t>
  </si>
  <si>
    <t xml:space="preserve">K04</t>
  </si>
  <si>
    <t xml:space="preserve">Resell the junk 02J bellhousing after measuring</t>
  </si>
  <si>
    <t xml:space="preserve">TOTAL</t>
  </si>
  <si>
    <t xml:space="preserve">07K ZN6 — CNC mill BOM (HTMCNC-style, 450 x 750 x 110 mm work area)</t>
  </si>
  <si>
    <t xml:space="preserve">Same rules as the BOM tab. Blue column H = your real price (CAD). Lines with NO price are undecided: fill D/E with an estimate or H with the real price once you pick a listing. Decided so far (Oct 4, 2026): motor/driver/supply kit (Amazon), extrusion (Amazon). Have: Arduino UNO, filament. Candidate AliExpress listings are in the Link column; prices for those are NOT entered on purpose.</t>
  </si>
  <si>
    <t xml:space="preserve">2040 T-slot extrusion, 1000 mm, black — VEVOR 5-pack</t>
  </si>
  <si>
    <t xml:space="preserve">CNC: Frame</t>
  </si>
  <si>
    <t xml:space="preserve">Extrusion</t>
  </si>
  <si>
    <t xml:space="preserve">Cut plan: two bars → 700 + 200 + 100; three bars stay 600. Cut 2–3 mm long, file square. Decided Oct 4: Amazon.</t>
  </si>
  <si>
    <t xml:space="preserve">pack</t>
  </si>
  <si>
    <t xml:space="preserve">Amazon B0F47W71ZD</t>
  </si>
  <si>
    <t xml:space="preserve">CNC build</t>
  </si>
  <si>
    <t xml:space="preserve">https://www.amazon.ca/dp/B0F47W71ZD</t>
  </si>
  <si>
    <t xml:space="preserve">2080 T-slot extrusion, 1000 mm, silver — 2-pack (Y rails)</t>
  </si>
  <si>
    <t xml:space="preserve">Check the variant selector is on 1000 mm silver before buying. Decided Oct 4: Amazon. Alt: Spool3D 2080 V-slot 1000 mm.</t>
  </si>
  <si>
    <t xml:space="preserve">Amazon B09MWBZRGH</t>
  </si>
  <si>
    <t xml:space="preserve">https://www.amazon.ca/dp/B09MWBZRGH</t>
  </si>
  <si>
    <t xml:space="preserve">Corner bracket 28x20x28 (2028), with T-nuts + M5 bolts</t>
  </si>
  <si>
    <t xml:space="preserve">Author's BOM: 18. Sold in 10-packs → buy 2 packs.</t>
  </si>
  <si>
    <t xml:space="preserve">AliExpress 1005007660268625</t>
  </si>
  <si>
    <t xml:space="preserve">https://www.aliexpress.com/item/1005007660268625.html</t>
  </si>
  <si>
    <t xml:space="preserve">Corner bracket 20x20x20, with T-nuts + M5 bolts</t>
  </si>
  <si>
    <t xml:space="preserve">Author's BOM: 8.</t>
  </si>
  <si>
    <t xml:space="preserve">AliExpress 1005002491882309</t>
  </si>
  <si>
    <t xml:space="preserve">https://www.aliexpress.com/item/1005002491882309.html</t>
  </si>
  <si>
    <t xml:space="preserve">M5 sliding T-nut</t>
  </si>
  <si>
    <t xml:space="preserve">20-series, 6 mm slot.</t>
  </si>
  <si>
    <t xml:space="preserve">AliExpress 1005007883028035</t>
  </si>
  <si>
    <t xml:space="preserve">https://www.aliexpress.com/item/1005007883028035.html</t>
  </si>
  <si>
    <t xml:space="preserve">M5 hammer-head T-nut</t>
  </si>
  <si>
    <t xml:space="preserve">Drop-in type for adding parts after assembly.</t>
  </si>
  <si>
    <t xml:space="preserve">AliExpress 32814359094</t>
  </si>
  <si>
    <t xml:space="preserve">https://www.aliexpress.com/item/32814359094.html</t>
  </si>
  <si>
    <t xml:space="preserve">M4 sliding T-nut</t>
  </si>
  <si>
    <t xml:space="preserve">M4 hammer-head T-nut</t>
  </si>
  <si>
    <t xml:space="preserve">Socket-head bolt kit (author's list)</t>
  </si>
  <si>
    <t xml:space="preserve">M3x12 ×10, M3x16 ×5, M3x30 ×5, M4x10 ×5, M4x12 ×5, M4x14 ×60, M4x25 ×10, M5x12 ×50, M5x16 ×40, M5x20 ×40, M5x30 ×40, M5x50 ×25, M5x60 ×35, M5x70 ×5. Cheapest as an assorted M4/M5 kit.</t>
  </si>
  <si>
    <t xml:space="preserve">Amazon / AliExpress</t>
  </si>
  <si>
    <t xml:space="preserve">HGR15 linear rail 1000 mm + 2 HGH15CA blocks (Y)</t>
  </si>
  <si>
    <t xml:space="preserve">CNC: Motion</t>
  </si>
  <si>
    <t xml:space="preserve">Linear rails</t>
  </si>
  <si>
    <t xml:space="preserve">Y scaled to 750 mm travel: 600 + 400. Buy as a 2-rail + 4-block set.</t>
  </si>
  <si>
    <t xml:space="preserve">AliExpress 1005004825209262</t>
  </si>
  <si>
    <t xml:space="preserve">https://www.aliexpress.com/item/1005004825209262.html</t>
  </si>
  <si>
    <t xml:space="preserve">HGR15 linear rail 600 mm + 2 HGH15CA blocks (X)</t>
  </si>
  <si>
    <t xml:space="preserve">Same listing, 600 mm option.</t>
  </si>
  <si>
    <t xml:space="preserve">HGR15 linear rail 300 mm + 2 HGH15CA blocks (Z)</t>
  </si>
  <si>
    <t xml:space="preserve">Same listing, 300 mm option; fixed-length alt 1005012673253692.</t>
  </si>
  <si>
    <t xml:space="preserve">SFU1605 ballscrew 900 mm, flange nut, ends machined (Y)</t>
  </si>
  <si>
    <t xml:space="preserve">Ballscrews</t>
  </si>
  <si>
    <t xml:space="preserve">C7 rolled. Y = 500 + 400. Check critical speed for 900 mm (author's note).</t>
  </si>
  <si>
    <t xml:space="preserve">AliExpress 1005007791178337</t>
  </si>
  <si>
    <t xml:space="preserve">https://www.aliexpress.com/item/1005007791178337.html</t>
  </si>
  <si>
    <t xml:space="preserve">SFU1605 ballscrew 600 mm, flange nut, ends machined (X)</t>
  </si>
  <si>
    <t xml:space="preserve">SFU1605 ballscrew 300 mm, flange nut, ends machined (Z)</t>
  </si>
  <si>
    <t xml:space="preserve">Fixed-length listing with 105 orders.</t>
  </si>
  <si>
    <t xml:space="preserve">AliExpress 32995243964</t>
  </si>
  <si>
    <t xml:space="preserve">https://www.aliexpress.com/item/32995243964.html</t>
  </si>
  <si>
    <t xml:space="preserve">7001 angular contact bearing, P5, DB pair (12x28x8)</t>
  </si>
  <si>
    <t xml:space="preserve">Bearing blocks</t>
  </si>
  <si>
    <t xml:space="preserve">One pair per printed ballscrew bearing block.</t>
  </si>
  <si>
    <t xml:space="preserve">pair</t>
  </si>
  <si>
    <t xml:space="preserve">AliExpress 32794645480</t>
  </si>
  <si>
    <t xml:space="preserve">https://www.aliexpress.com/item/32794645480.html</t>
  </si>
  <si>
    <t xml:space="preserve">C17</t>
  </si>
  <si>
    <t xml:space="preserve">6000-2RS bearing (10x26x8)</t>
  </si>
  <si>
    <t xml:space="preserve">Floating-end bearings.</t>
  </si>
  <si>
    <t xml:space="preserve">AliExpress 1005006093979302</t>
  </si>
  <si>
    <t xml:space="preserve">https://www.aliexpress.com/item/1005006093979302.html</t>
  </si>
  <si>
    <t xml:space="preserve">C18</t>
  </si>
  <si>
    <t xml:space="preserve">M12x1 locknut (ballscrew end)</t>
  </si>
  <si>
    <t xml:space="preserve">Also included in BK12 support kits.</t>
  </si>
  <si>
    <t xml:space="preserve">AliExpress</t>
  </si>
  <si>
    <t xml:space="preserve">C19</t>
  </si>
  <si>
    <t xml:space="preserve">Shaft coupler 8 mm to 10 mm, jaw type D19 L25</t>
  </si>
  <si>
    <t xml:space="preserve">Drive</t>
  </si>
  <si>
    <t xml:space="preserve">Motor shaft 8 mm → screw end 10 mm.</t>
  </si>
  <si>
    <t xml:space="preserve">AliExpress 1005007121900242</t>
  </si>
  <si>
    <t xml:space="preserve">https://www.aliexpress.com/item/1005007121900242.html</t>
  </si>
  <si>
    <t xml:space="preserve">C20</t>
  </si>
  <si>
    <t xml:space="preserve">Motor / driver / supply kit: 4× NEMA 23 2.2 Nm, 4× TB6600, 36 V 350 W, Mach3 USB card</t>
  </si>
  <si>
    <t xml:space="preserve">CNC: Electronics</t>
  </si>
  <si>
    <t xml:space="preserve">Motion control</t>
  </si>
  <si>
    <t xml:space="preserve">Decided Oct 4. Set TB6600 to ~2.5 A, 1/8–1/16 microstep. Treat the Mach3 USB card as a spare; GRBL runs on the UNO. Check motor body length vs the printed Y and Z mounts.</t>
  </si>
  <si>
    <t xml:space="preserve">Amazon B0BTJTXHNN</t>
  </si>
  <si>
    <t xml:space="preserve">https://www.amazon.ca/dp/B0BTJTXHNN</t>
  </si>
  <si>
    <t xml:space="preserve">C21</t>
  </si>
  <si>
    <t xml:space="preserve">Arduino UNO</t>
  </si>
  <si>
    <t xml:space="preserve">Flash GRBL 1.1.</t>
  </si>
  <si>
    <t xml:space="preserve">C22</t>
  </si>
  <si>
    <t xml:space="preserve">CNC Shield V3 (shield only, no stepsticks)</t>
  </si>
  <si>
    <t xml:space="preserve">TB6600 step/dir wired to the shield's driver sockets.</t>
  </si>
  <si>
    <t xml:space="preserve">AliExpress 1005006478108991</t>
  </si>
  <si>
    <t xml:space="preserve">https://www.aliexpress.com/item/1005006478108991.html</t>
  </si>
  <si>
    <t xml:space="preserve">C23</t>
  </si>
  <si>
    <t xml:space="preserve">Limit switch, micro / endstop</t>
  </si>
  <si>
    <t xml:space="preserve">Switches</t>
  </si>
  <si>
    <t xml:space="preserve">2 per axis. 5-packs.</t>
  </si>
  <si>
    <t xml:space="preserve">AliExpress 1005001599112235</t>
  </si>
  <si>
    <t xml:space="preserve">https://www.aliexpress.com/item/1005001599112235.html</t>
  </si>
  <si>
    <t xml:space="preserve">C24</t>
  </si>
  <si>
    <t xml:space="preserve">E-stop button, NC</t>
  </si>
  <si>
    <t xml:space="preserve">C25</t>
  </si>
  <si>
    <t xml:space="preserve">Shielded 4-wire cable, stepper motors</t>
  </si>
  <si>
    <t xml:space="preserve">Wiring</t>
  </si>
  <si>
    <t xml:space="preserve">Author used double-shielded; ground the shield at the box only.</t>
  </si>
  <si>
    <t xml:space="preserve">m</t>
  </si>
  <si>
    <t xml:space="preserve">C26</t>
  </si>
  <si>
    <t xml:space="preserve">Shielded 2-wire cable, limit switches</t>
  </si>
  <si>
    <t xml:space="preserve">C27</t>
  </si>
  <si>
    <t xml:space="preserve">Drag chain 10x20 + end mounts</t>
  </si>
  <si>
    <t xml:space="preserve">X and Y runs.</t>
  </si>
  <si>
    <t xml:space="preserve">C28</t>
  </si>
  <si>
    <t xml:space="preserve">Terminal blocks, ferrules, USB cable, hookup wire</t>
  </si>
  <si>
    <t xml:space="preserve">C29</t>
  </si>
  <si>
    <t xml:space="preserve">Electronics mounting panel (plywood) — enclosure optional</t>
  </si>
  <si>
    <t xml:space="preserve">Control box</t>
  </si>
  <si>
    <t xml:space="preserve">Author's metal enclosure + GX16 connectors cost ~US$500; an open panel does the job.</t>
  </si>
  <si>
    <t xml:space="preserve">C30</t>
  </si>
  <si>
    <t xml:space="preserve">12 V fan + DC-DC converter for the box</t>
  </si>
  <si>
    <t xml:space="preserve">Only if the drivers go in a closed box.</t>
  </si>
  <si>
    <t xml:space="preserve">C31</t>
  </si>
  <si>
    <t xml:space="preserve">Ethernet CNC controller (grblHAL Teensy 4.1 + breakout) — EMI fix</t>
  </si>
  <si>
    <t xml:space="preserve">Author could not fully stop USB/EMI false alarms on Arduino+GRBL. Upgrade path, not needed to start.</t>
  </si>
  <si>
    <t xml:space="preserve">C32</t>
  </si>
  <si>
    <t xml:space="preserve">Makita RT0701C trim router (65 mm body)</t>
  </si>
  <si>
    <t xml:space="preserve">CNC: Spindle</t>
  </si>
  <si>
    <t xml:space="preserve">Router</t>
  </si>
  <si>
    <t xml:space="preserve">New vs used vs 65 mm clone. The printed mount is sized for the 65 mm Makita body; the Craftsman does not fit.</t>
  </si>
  <si>
    <t xml:space="preserve">Home Depot / Amazon.ca / Marketplace</t>
  </si>
  <si>
    <t xml:space="preserve">C33</t>
  </si>
  <si>
    <t xml:space="preserve">6 mm collet for RT0701C</t>
  </si>
  <si>
    <t xml:space="preserve">Router ships with 1/4 in only.</t>
  </si>
  <si>
    <t xml:space="preserve">C34</t>
  </si>
  <si>
    <t xml:space="preserve">VFD spindle 1.5–2.2 kW ER20 + VFD (phase 2)</t>
  </si>
  <si>
    <t xml:space="preserve">Upgrade</t>
  </si>
  <si>
    <t xml:space="preserve">Author moved to a 2.2 kW VFD spindle for runout; do this before the gearbox adapter plate.</t>
  </si>
  <si>
    <t xml:space="preserve">C35</t>
  </si>
  <si>
    <t xml:space="preserve">80 mm spindle mount (if VFD spindle)</t>
  </si>
  <si>
    <t xml:space="preserve">Machine it on the CNC itself.</t>
  </si>
  <si>
    <t xml:space="preserve">C36</t>
  </si>
  <si>
    <t xml:space="preserve">Filament, PETG / ASA, ~3 kg for all printed parts</t>
  </si>
  <si>
    <t xml:space="preserve">CNC: Printed parts</t>
  </si>
  <si>
    <t xml:space="preserve">Avoid PLA (creep under bolt preload). Thicken the router mount walls (author: biggest rigidity gain).</t>
  </si>
  <si>
    <t xml:space="preserve">C37</t>
  </si>
  <si>
    <t xml:space="preserve">HTMCNC STL + STEP files (Cults3D)</t>
  </si>
  <si>
    <t xml:space="preserve">Files</t>
  </si>
  <si>
    <t xml:space="preserve">Onshape model is free to view; files are paid.</t>
  </si>
  <si>
    <t xml:space="preserve">Cults3D</t>
  </si>
  <si>
    <t xml:space="preserve">https://cults3d.com/en/3d-model/tool/diy-3d-printed-cnc-machine-htmcnc</t>
  </si>
  <si>
    <t xml:space="preserve">C38</t>
  </si>
  <si>
    <t xml:space="preserve">MDF spoilboard 18–19 mm, ~500 x 800 mm</t>
  </si>
  <si>
    <t xml:space="preserve">CNC: Bed</t>
  </si>
  <si>
    <t xml:space="preserve">Workholding</t>
  </si>
  <si>
    <t xml:space="preserve">Surface it with the machine once running.</t>
  </si>
  <si>
    <t xml:space="preserve">Home Depot</t>
  </si>
  <si>
    <t xml:space="preserve">C39</t>
  </si>
  <si>
    <t xml:space="preserve">Threaded inserts M6 (or T-track) for hold-downs</t>
  </si>
  <si>
    <t xml:space="preserve">C40</t>
  </si>
  <si>
    <t xml:space="preserve">Clamps / hold-down set</t>
  </si>
  <si>
    <t xml:space="preserve">Print the first set; machine aluminum ones later.</t>
  </si>
  <si>
    <t xml:space="preserve">C41</t>
  </si>
  <si>
    <t xml:space="preserve">Single-flute carbide endmill, 6 mm, aluminum</t>
  </si>
  <si>
    <t xml:space="preserve">CNC: Tooling</t>
  </si>
  <si>
    <t xml:space="preserve">Cutters</t>
  </si>
  <si>
    <t xml:space="preserve">Roughing + profiling the flanges and adapter.</t>
  </si>
  <si>
    <t xml:space="preserve">AliExpress 1005001948417279</t>
  </si>
  <si>
    <t xml:space="preserve">https://www.aliexpress.com/item/1005001948417279.html</t>
  </si>
  <si>
    <t xml:space="preserve">C42</t>
  </si>
  <si>
    <t xml:space="preserve">Single-flute carbide endmill, 3 mm or 1/8 in</t>
  </si>
  <si>
    <t xml:space="preserve">Small features, bung holes.</t>
  </si>
  <si>
    <t xml:space="preserve">C43</t>
  </si>
  <si>
    <t xml:space="preserve">Dial indicator + magnetic base</t>
  </si>
  <si>
    <t xml:space="preserve">Setup</t>
  </si>
  <si>
    <t xml:space="preserve">Tramming, squareness, collet runout. Mark Have if you own one.</t>
  </si>
  <si>
    <t xml:space="preserve">C44</t>
  </si>
  <si>
    <t xml:space="preserve">Z touch plate / probe</t>
  </si>
  <si>
    <t xml:space="preserve">C45</t>
  </si>
  <si>
    <t xml:space="preserve">Air blast or mist setup (isopropyl / WD-40) for aluminum</t>
  </si>
  <si>
    <t xml:space="preserve">Stops chip welding on the single-flute cutters.</t>
  </si>
  <si>
    <t xml:space="preserve">C46</t>
  </si>
  <si>
    <t xml:space="preserve">Grease for rails and ballscrews, zip ties, heat shrink</t>
  </si>
  <si>
    <t xml:space="preserve">CNC: Misc</t>
  </si>
  <si>
    <t xml:space="preserve">Consumables</t>
  </si>
  <si>
    <t xml:space="preserve">How to use this sheet</t>
  </si>
  <si>
    <t xml:space="preserve">1. Go to the BOM tab. Work down the list one line at a time.</t>
  </si>
  <si>
    <t xml:space="preserve">2. Have? — put Y if you already own the part (it then counts $0). Rows turn green.</t>
  </si>
  <si>
    <t xml:space="preserve">3. Make? — put Y if you'll make it. Then change 'Est. unit low/high' (or 'MY unit cost') to the MATERIAL cost. Lines that say MAKE already have material prices.</t>
  </si>
  <si>
    <t xml:space="preserve">4. MY unit cost — when you find the real price, type it here in the row's currency. It replaces the estimate in all totals, and the contingency stops applying to that line.</t>
  </si>
  <si>
    <t xml:space="preserve">5. Include — N drops a line. Use it to switch between options (e.g. U01 Garrett vs U04/U05 RS3 turbo; O02 custom sump vs O09 Boost Brothers pan; G25–G27 own CSC parts vs G28 bought kit).</t>
  </si>
  <si>
    <t xml:space="preserve">6. Status — Need / To decide / Option / Optional / Ordered / Have / Done. Yellow = To decide: look at these first.</t>
  </si>
  <si>
    <t xml:space="preserve">7. Summary tab → Gearbox route: RX-8 (default) or ZN6 TL70. Lines for the other route turn orange and are excluded.</t>
  </si>
  <si>
    <t xml:space="preserve">8. Summary tab → Contingency: 25% is applied only to lines you haven't confirmed. The more real prices you enter, the smaller it gets.</t>
  </si>
  <si>
    <t xml:space="preserve">9. Columns L–X (System, Sub-assembly, Spec/notes, Vendor, Phase, Route, Basis, Link) are hidden to fit the screen. Click the + above column L (Google Sheets: the small arrow at the column edge) to expand them. The filter arrows on the header still filter by them.</t>
  </si>
  <si>
    <t xml:space="preserve">10. Everything is in CAD. If you find a price in USD or GBP, convert it with the rates on the Summary tab (or change that row's Cur to USD/GBP and type the foreign price).</t>
  </si>
  <si>
    <t xml:space="preserve">Colours: blue = you edit it; yellow = key input; green row = you have it; grey row = excluded; orange row = other gearbox route.</t>
  </si>
  <si>
    <t xml:space="preserve">Google Sheets: upload to Drive → Open with Google Sheets. Formulas, dropdowns and colour rules carry over.</t>
  </si>
  <si>
    <t xml:space="preserve">10. CNC tab — the parts list for the DIY CNC mill (HTMCNC-style, Y scaled to 750 mm). Same columns and colour rules as the BOM tab, plus pink Est. cells = no price decided yet. The Summary has its own CNC block; it is not added to the car's ALL-IN.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</si>
</sst>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%"/>
    <numFmt numFmtId="167" formatCode="\$#,##0;&quot;($&quot;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ont>
        <name val="Arial"/>
        <charset val="1"/>
        <family val="0"/>
        <color rgb="FF808080"/>
      </font>
      <fill>
        <patternFill>
          <bgColor rgb="FFEDEDED"/>
        </patternFill>
      </fill>
    </dxf>
    <dxf>
      <font>
        <name val="Arial"/>
        <charset val="1"/>
        <family val="0"/>
        <color rgb="FF808080"/>
      </font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 patternType="solid">
          <fgColor rgb="FFFBE5E5"/>
          <bgColor rgb="FF000000"/>
        </patternFill>
      </fill>
    </dxf>
    <dxf>
      <font>
        <color rgb="FF808080"/>
      </font>
      <fill>
        <patternFill>
          <bgColor rgb="FFEDEDED"/>
        </patternFill>
      </fill>
    </dxf>
    <dxf>
      <font>
        <color rgb="FF808080"/>
      </font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BE5E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EDEDED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BE5E5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cargurus.ca/Cars/l-Used-Scion-FR-S-Toronto-d2140_L414276" TargetMode="External"/><Relationship Id="rId3" Type="http://schemas.openxmlformats.org/officeDocument/2006/relationships/hyperlink" Target="https://www.ebay.com/itm/355614546913" TargetMode="External"/><Relationship Id="rId4" Type="http://schemas.openxmlformats.org/officeDocument/2006/relationships/hyperlink" Target="https://performancebyie.com/products/ie-vacuum-pump-blockoff-vw-25l-5cyl" TargetMode="External"/><Relationship Id="rId5" Type="http://schemas.openxmlformats.org/officeDocument/2006/relationships/hyperlink" Target="https://www.ebay.com/b/Complete-Manual-Transmissions-for-Mazda-RX-8/171117/bn_1435951" TargetMode="External"/><Relationship Id="rId6" Type="http://schemas.openxmlformats.org/officeDocument/2006/relationships/hyperlink" Target="https://www.onlinemetals.com/en/buy/aluminum-sheet-plate-6061" TargetMode="External"/><Relationship Id="rId7" Type="http://schemas.openxmlformats.org/officeDocument/2006/relationships/hyperlink" Target="https://americanpowertrain.com/general-bellhousing-alignment-instructions/" TargetMode="External"/><Relationship Id="rId8" Type="http://schemas.openxmlformats.org/officeDocument/2006/relationships/hyperlink" Target="https://www.rx8gearboxadapters.com/product-page/vw-pd-1-8t-20v-vertically-mounted" TargetMode="External"/><Relationship Id="rId9" Type="http://schemas.openxmlformats.org/officeDocument/2006/relationships/hyperlink" Target="https://www.rx8gearboxadapters.com/product-page/vw-pd-1-8t-bolt-kit-rx8027" TargetMode="External"/><Relationship Id="rId10" Type="http://schemas.openxmlformats.org/officeDocument/2006/relationships/hyperlink" Target="https://www.ecstuning.com/b-ecs-parts/ra4-single-mass-flywheel-kit/ecs212321b5kt/" TargetMode="External"/><Relationship Id="rId11" Type="http://schemas.openxmlformats.org/officeDocument/2006/relationships/hyperlink" Target="https://qedmotorsport.co.uk/product/clutch-plate-228mm-1-x-23-spline-ford-box-heavy-duty-organic-helix/" TargetMode="External"/><Relationship Id="rId12" Type="http://schemas.openxmlformats.org/officeDocument/2006/relationships/hyperlink" Target="https://www.rx8gearboxadapters.com/product-page/rx8-spigot-bearing-rx8017" TargetMode="External"/><Relationship Id="rId13" Type="http://schemas.openxmlformats.org/officeDocument/2006/relationships/hyperlink" Target="https://www.ebay.co.uk/p/1509332173" TargetMode="External"/><Relationship Id="rId14" Type="http://schemas.openxmlformats.org/officeDocument/2006/relationships/hyperlink" Target="https://www.speedwaymotors.com/Tilton-60-6100-Flat-Face-Hydraulic-Release-Bearing-Universal,413901.html" TargetMode="External"/><Relationship Id="rId15" Type="http://schemas.openxmlformats.org/officeDocument/2006/relationships/hyperlink" Target="https://www.rx8gearboxadapters.com/product-page/rx8-6-speed-concentric-slave-cylinder-set-up" TargetMode="External"/><Relationship Id="rId16" Type="http://schemas.openxmlformats.org/officeDocument/2006/relationships/hyperlink" Target="https://www.garrettmotion.com/racing-and-performance/performance-turbos/" TargetMode="External"/><Relationship Id="rId17" Type="http://schemas.openxmlformats.org/officeDocument/2006/relationships/hyperlink" Target="https://byiabed.com/07K-25-Rabbit-to-TT-RS-Turbocharger-adapter-plate_p_143.html" TargetMode="External"/><Relationship Id="rId18" Type="http://schemas.openxmlformats.org/officeDocument/2006/relationships/hyperlink" Target="https://www.cgtrader.com/3d-print-models/hobby-diy/automotive/vw-07k-exhaust-header-flange-3d-model" TargetMode="External"/><Relationship Id="rId19" Type="http://schemas.openxmlformats.org/officeDocument/2006/relationships/hyperlink" Target="https://www.boostbrothersgarage.com/collections/944-07k-swap" TargetMode="External"/><Relationship Id="rId20" Type="http://schemas.openxmlformats.org/officeDocument/2006/relationships/hyperlink" Target="https://www.onlinemetals.com/en/buy/aluminum-sheet-plate-6061" TargetMode="External"/><Relationship Id="rId21" Type="http://schemas.openxmlformats.org/officeDocument/2006/relationships/hyperlink" Target="https://www.onlinemetals.com/en/buy/aluminum-sheet-plate-5052" TargetMode="External"/><Relationship Id="rId22" Type="http://schemas.openxmlformats.org/officeDocument/2006/relationships/hyperlink" Target="https://www.speedymetals.com/pc-4604-8371-2-od-x-065-wall-tube-6061-t6-aluminum.aspx" TargetMode="External"/><Relationship Id="rId23" Type="http://schemas.openxmlformats.org/officeDocument/2006/relationships/hyperlink" Target="https://www.jegs.com/i/ICT-Billet/335/551313/10002/-1" TargetMode="External"/><Relationship Id="rId24" Type="http://schemas.openxmlformats.org/officeDocument/2006/relationships/hyperlink" Target="https://www.jegs.com/i/Vibrant-Performance/231/11170/10002/-1" TargetMode="External"/><Relationship Id="rId25" Type="http://schemas.openxmlformats.org/officeDocument/2006/relationships/hyperlink" Target="https://revmapperformance.com/product/07k-swap-ready-file/" TargetMode="External"/><Relationship Id="rId26" Type="http://schemas.openxmlformats.org/officeDocument/2006/relationships/hyperlink" Target="https://charles.revmapperformance.com/" TargetMode="External"/><Relationship Id="rId27" Type="http://schemas.openxmlformats.org/officeDocument/2006/relationships/hyperlink" Target="https://www.pjrc.com/store/teensy41.html" TargetMode="External"/><Relationship Id="rId28" Type="http://schemas.openxmlformats.org/officeDocument/2006/relationships/hyperlink" Target="https://sketchfab.com/3d-models/86-frs-brz-front-subframe-model-96c9112eee00459089a809713f6b00d2" TargetMode="External"/><Relationship Id="rId29" Type="http://schemas.openxmlformats.org/officeDocument/2006/relationships/hyperlink" Target="https://www.boostbrothersgarage.com/products/944-07k-swap-oil-pan" TargetMode="External"/><Relationship Id="rId30" Type="http://schemas.openxmlformats.org/officeDocument/2006/relationships/hyperlink" Target="https://s-pautomotive.com/product/07k-engine-stand-mount/" TargetMode="External"/><Relationship Id="rId31" Type="http://schemas.openxmlformats.org/officeDocument/2006/relationships/drawing" Target="../drawings/drawing1.xml"/><Relationship Id="rId3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amazon.ca/dp/B0F47W71ZD" TargetMode="External"/><Relationship Id="rId2" Type="http://schemas.openxmlformats.org/officeDocument/2006/relationships/hyperlink" Target="https://www.amazon.ca/dp/B09MWBZRGH" TargetMode="External"/><Relationship Id="rId3" Type="http://schemas.openxmlformats.org/officeDocument/2006/relationships/hyperlink" Target="https://www.aliexpress.com/item/1005007660268625.html" TargetMode="External"/><Relationship Id="rId4" Type="http://schemas.openxmlformats.org/officeDocument/2006/relationships/hyperlink" Target="https://www.aliexpress.com/item/1005002491882309.html" TargetMode="External"/><Relationship Id="rId5" Type="http://schemas.openxmlformats.org/officeDocument/2006/relationships/hyperlink" Target="https://www.aliexpress.com/item/1005007883028035.html" TargetMode="External"/><Relationship Id="rId6" Type="http://schemas.openxmlformats.org/officeDocument/2006/relationships/hyperlink" Target="https://www.aliexpress.com/item/32814359094.html" TargetMode="External"/><Relationship Id="rId7" Type="http://schemas.openxmlformats.org/officeDocument/2006/relationships/hyperlink" Target="https://www.aliexpress.com/item/1005007883028035.html" TargetMode="External"/><Relationship Id="rId8" Type="http://schemas.openxmlformats.org/officeDocument/2006/relationships/hyperlink" Target="https://www.aliexpress.com/item/32814359094.html" TargetMode="External"/><Relationship Id="rId9" Type="http://schemas.openxmlformats.org/officeDocument/2006/relationships/hyperlink" Target="https://www.aliexpress.com/item/1005004825209262.html" TargetMode="External"/><Relationship Id="rId10" Type="http://schemas.openxmlformats.org/officeDocument/2006/relationships/hyperlink" Target="https://www.aliexpress.com/item/1005004825209262.html" TargetMode="External"/><Relationship Id="rId11" Type="http://schemas.openxmlformats.org/officeDocument/2006/relationships/hyperlink" Target="https://www.aliexpress.com/item/1005004825209262.html" TargetMode="External"/><Relationship Id="rId12" Type="http://schemas.openxmlformats.org/officeDocument/2006/relationships/hyperlink" Target="https://www.aliexpress.com/item/1005007791178337.html" TargetMode="External"/><Relationship Id="rId13" Type="http://schemas.openxmlformats.org/officeDocument/2006/relationships/hyperlink" Target="https://www.aliexpress.com/item/1005007791178337.html" TargetMode="External"/><Relationship Id="rId14" Type="http://schemas.openxmlformats.org/officeDocument/2006/relationships/hyperlink" Target="https://www.aliexpress.com/item/32995243964.html" TargetMode="External"/><Relationship Id="rId15" Type="http://schemas.openxmlformats.org/officeDocument/2006/relationships/hyperlink" Target="https://www.aliexpress.com/item/32794645480.html" TargetMode="External"/><Relationship Id="rId16" Type="http://schemas.openxmlformats.org/officeDocument/2006/relationships/hyperlink" Target="https://www.aliexpress.com/item/1005006093979302.html" TargetMode="External"/><Relationship Id="rId17" Type="http://schemas.openxmlformats.org/officeDocument/2006/relationships/hyperlink" Target="https://www.aliexpress.com/item/1005007121900242.html" TargetMode="External"/><Relationship Id="rId18" Type="http://schemas.openxmlformats.org/officeDocument/2006/relationships/hyperlink" Target="https://www.amazon.ca/dp/B0BTJTXHNN" TargetMode="External"/><Relationship Id="rId19" Type="http://schemas.openxmlformats.org/officeDocument/2006/relationships/hyperlink" Target="https://www.aliexpress.com/item/1005006478108991.html" TargetMode="External"/><Relationship Id="rId20" Type="http://schemas.openxmlformats.org/officeDocument/2006/relationships/hyperlink" Target="https://www.aliexpress.com/item/1005001599112235.html" TargetMode="External"/><Relationship Id="rId21" Type="http://schemas.openxmlformats.org/officeDocument/2006/relationships/hyperlink" Target="https://cults3d.com/en/3d-model/tool/diy-3d-printed-cnc-machine-htmcnc" TargetMode="External"/><Relationship Id="rId22" Type="http://schemas.openxmlformats.org/officeDocument/2006/relationships/hyperlink" Target="https://www.aliexpress.com/item/1005001948417279.html" TargetMode="External"/><Relationship Id="rId23" Type="http://schemas.openxmlformats.org/officeDocument/2006/relationships/hyperlink" Target="https://www.aliexpress.com/item/1005001948417279.html" TargetMode="External"/><Relationship Id="rId24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4" min="3" style="1" width="14"/>
    <col collapsed="false" customWidth="true" hidden="false" outlineLevel="0" max="5" min="5" style="1" width="16"/>
  </cols>
  <sheetData>
    <row r="1" customFormat="false" ht="17.25" hidden="false" customHeight="true" outlineLevel="0" collapsed="false">
      <c r="A1" s="2" t="s">
        <v>0</v>
      </c>
      <c r="B1" s="3"/>
      <c r="C1" s="3"/>
      <c r="D1" s="3"/>
      <c r="E1" s="3"/>
    </row>
    <row r="2" customFormat="false" ht="15" hidden="false" customHeight="true" outlineLevel="0" collapsed="false">
      <c r="A2" s="4" t="s">
        <v>1</v>
      </c>
      <c r="B2" s="3"/>
      <c r="C2" s="3"/>
      <c r="D2" s="3"/>
      <c r="E2" s="3"/>
    </row>
    <row r="3" customFormat="false" ht="15" hidden="false" customHeight="true" outlineLevel="0" collapsed="false">
      <c r="A3" s="3"/>
      <c r="B3" s="3"/>
      <c r="C3" s="3"/>
      <c r="D3" s="3"/>
      <c r="E3" s="3"/>
    </row>
    <row r="4" customFormat="false" ht="15" hidden="false" customHeight="true" outlineLevel="0" collapsed="false">
      <c r="A4" s="5" t="s">
        <v>2</v>
      </c>
      <c r="B4" s="3"/>
      <c r="C4" s="3"/>
      <c r="D4" s="3"/>
      <c r="E4" s="3"/>
    </row>
    <row r="5" customFormat="false" ht="15" hidden="false" customHeight="true" outlineLevel="0" collapsed="false">
      <c r="A5" s="3"/>
      <c r="B5" s="5" t="s">
        <v>3</v>
      </c>
      <c r="C5" s="5" t="s">
        <v>4</v>
      </c>
      <c r="D5" s="5" t="s">
        <v>5</v>
      </c>
      <c r="E5" s="3"/>
    </row>
    <row r="6" customFormat="false" ht="15" hidden="false" customHeight="true" outlineLevel="0" collapsed="false">
      <c r="A6" s="3"/>
      <c r="B6" s="3" t="s">
        <v>6</v>
      </c>
      <c r="C6" s="6" t="n">
        <v>1</v>
      </c>
      <c r="D6" s="3" t="s">
        <v>7</v>
      </c>
      <c r="E6" s="3"/>
    </row>
    <row r="7" customFormat="false" ht="15" hidden="false" customHeight="true" outlineLevel="0" collapsed="false">
      <c r="A7" s="3"/>
      <c r="B7" s="3" t="s">
        <v>8</v>
      </c>
      <c r="C7" s="7" t="n">
        <v>1.42</v>
      </c>
      <c r="D7" s="3" t="s">
        <v>9</v>
      </c>
      <c r="E7" s="3"/>
    </row>
    <row r="8" customFormat="false" ht="15" hidden="false" customHeight="true" outlineLevel="0" collapsed="false">
      <c r="A8" s="3"/>
      <c r="B8" s="3" t="s">
        <v>10</v>
      </c>
      <c r="C8" s="7" t="n">
        <v>1.85</v>
      </c>
      <c r="D8" s="3" t="s">
        <v>11</v>
      </c>
      <c r="E8" s="3"/>
    </row>
    <row r="9" customFormat="false" ht="15" hidden="false" customHeight="true" outlineLevel="0" collapsed="false">
      <c r="A9" s="3"/>
      <c r="B9" s="3"/>
      <c r="C9" s="3"/>
      <c r="D9" s="3"/>
      <c r="E9" s="3"/>
    </row>
    <row r="10" customFormat="false" ht="30" hidden="false" customHeight="true" outlineLevel="0" collapsed="false">
      <c r="A10" s="3"/>
      <c r="B10" s="3" t="s">
        <v>12</v>
      </c>
      <c r="C10" s="8" t="n">
        <v>0.25</v>
      </c>
      <c r="D10" s="9" t="s">
        <v>13</v>
      </c>
      <c r="E10" s="3"/>
    </row>
    <row r="11" customFormat="false" ht="30" hidden="false" customHeight="true" outlineLevel="0" collapsed="false">
      <c r="A11" s="3"/>
      <c r="B11" s="3" t="s">
        <v>14</v>
      </c>
      <c r="C11" s="10" t="s">
        <v>15</v>
      </c>
      <c r="D11" s="9" t="s">
        <v>16</v>
      </c>
      <c r="E11" s="3"/>
    </row>
    <row r="12" customFormat="false" ht="15" hidden="false" customHeight="true" outlineLevel="0" collapsed="false">
      <c r="A12" s="3"/>
      <c r="B12" s="3"/>
      <c r="C12" s="3"/>
      <c r="D12" s="3"/>
      <c r="E12" s="3"/>
    </row>
    <row r="13" customFormat="false" ht="15" hidden="false" customHeight="true" outlineLevel="0" collapsed="false">
      <c r="A13" s="5" t="s">
        <v>17</v>
      </c>
      <c r="B13" s="3"/>
      <c r="C13" s="3"/>
      <c r="D13" s="3"/>
      <c r="E13" s="3"/>
    </row>
    <row r="14" customFormat="false" ht="15" hidden="false" customHeight="true" outlineLevel="0" collapsed="false">
      <c r="A14" s="3"/>
      <c r="B14" s="5" t="s">
        <v>18</v>
      </c>
      <c r="C14" s="5" t="s">
        <v>19</v>
      </c>
      <c r="D14" s="5" t="s">
        <v>20</v>
      </c>
      <c r="E14" s="5" t="s">
        <v>21</v>
      </c>
    </row>
    <row r="15" customFormat="false" ht="15" hidden="false" customHeight="true" outlineLevel="0" collapsed="false">
      <c r="A15" s="3"/>
      <c r="B15" s="3" t="s">
        <v>22</v>
      </c>
      <c r="C15" s="11" t="n">
        <f aca="false">SUMIFS(BOM!$U$5:$U$247,BOM!$L$5:$L$247,$B15)</f>
        <v>11995</v>
      </c>
      <c r="D15" s="11" t="n">
        <f aca="false">SUMIFS(BOM!$V$5:$V$247,BOM!$L$5:$L$247,$B15)</f>
        <v>23250</v>
      </c>
      <c r="E15" s="11" t="n">
        <f aca="false">SUMIFS(BOM!$I$5:$I$247,BOM!$L$5:$L$247,$B15)</f>
        <v>17622.5</v>
      </c>
    </row>
    <row r="16" customFormat="false" ht="15" hidden="false" customHeight="true" outlineLevel="0" collapsed="false">
      <c r="A16" s="3"/>
      <c r="B16" s="3" t="s">
        <v>23</v>
      </c>
      <c r="C16" s="11" t="n">
        <f aca="false">SUMIFS(BOM!$U$5:$U$247,BOM!$L$5:$L$247,$B16)</f>
        <v>1144</v>
      </c>
      <c r="D16" s="11" t="n">
        <f aca="false">SUMIFS(BOM!$V$5:$V$247,BOM!$L$5:$L$247,$B16)</f>
        <v>2874</v>
      </c>
      <c r="E16" s="11" t="n">
        <f aca="false">SUMIFS(BOM!$I$5:$I$247,BOM!$L$5:$L$247,$B16)</f>
        <v>2009</v>
      </c>
    </row>
    <row r="17" customFormat="false" ht="15" hidden="false" customHeight="true" outlineLevel="0" collapsed="false">
      <c r="A17" s="3"/>
      <c r="B17" s="3" t="s">
        <v>24</v>
      </c>
      <c r="C17" s="11" t="n">
        <f aca="false">SUMIFS(BOM!$U$5:$U$247,BOM!$L$5:$L$247,$B17)</f>
        <v>2260</v>
      </c>
      <c r="D17" s="11" t="n">
        <f aca="false">SUMIFS(BOM!$V$5:$V$247,BOM!$L$5:$L$247,$B17)</f>
        <v>5613</v>
      </c>
      <c r="E17" s="11" t="n">
        <f aca="false">SUMIFS(BOM!$I$5:$I$247,BOM!$L$5:$L$247,$B17)</f>
        <v>3936.5</v>
      </c>
    </row>
    <row r="18" customFormat="false" ht="15" hidden="false" customHeight="true" outlineLevel="0" collapsed="false">
      <c r="A18" s="3"/>
      <c r="B18" s="3" t="s">
        <v>25</v>
      </c>
      <c r="C18" s="11" t="n">
        <f aca="false">SUMIFS(BOM!$U$5:$U$247,BOM!$L$5:$L$247,$B18)</f>
        <v>0</v>
      </c>
      <c r="D18" s="11" t="n">
        <f aca="false">SUMIFS(BOM!$V$5:$V$247,BOM!$L$5:$L$247,$B18)</f>
        <v>0</v>
      </c>
      <c r="E18" s="11" t="n">
        <f aca="false">SUMIFS(BOM!$I$5:$I$247,BOM!$L$5:$L$247,$B18)</f>
        <v>0</v>
      </c>
    </row>
    <row r="19" customFormat="false" ht="15" hidden="false" customHeight="true" outlineLevel="0" collapsed="false">
      <c r="A19" s="3"/>
      <c r="B19" s="3" t="s">
        <v>26</v>
      </c>
      <c r="C19" s="11" t="n">
        <f aca="false">SUMIFS(BOM!$U$5:$U$247,BOM!$L$5:$L$247,$B19)</f>
        <v>724</v>
      </c>
      <c r="D19" s="11" t="n">
        <f aca="false">SUMIFS(BOM!$V$5:$V$247,BOM!$L$5:$L$247,$B19)</f>
        <v>1315</v>
      </c>
      <c r="E19" s="11" t="n">
        <f aca="false">SUMIFS(BOM!$I$5:$I$247,BOM!$L$5:$L$247,$B19)</f>
        <v>1019.5</v>
      </c>
    </row>
    <row r="20" customFormat="false" ht="15" hidden="false" customHeight="true" outlineLevel="0" collapsed="false">
      <c r="A20" s="3"/>
      <c r="B20" s="3" t="s">
        <v>27</v>
      </c>
      <c r="C20" s="11" t="n">
        <f aca="false">SUMIFS(BOM!$U$5:$U$247,BOM!$L$5:$L$247,$B20)</f>
        <v>295</v>
      </c>
      <c r="D20" s="11" t="n">
        <f aca="false">SUMIFS(BOM!$V$5:$V$247,BOM!$L$5:$L$247,$B20)</f>
        <v>895</v>
      </c>
      <c r="E20" s="11" t="n">
        <f aca="false">SUMIFS(BOM!$I$5:$I$247,BOM!$L$5:$L$247,$B20)</f>
        <v>595</v>
      </c>
    </row>
    <row r="21" customFormat="false" ht="15" hidden="false" customHeight="true" outlineLevel="0" collapsed="false">
      <c r="A21" s="3"/>
      <c r="B21" s="3" t="s">
        <v>28</v>
      </c>
      <c r="C21" s="11" t="n">
        <f aca="false">SUMIFS(BOM!$U$5:$U$247,BOM!$L$5:$L$247,$B21)</f>
        <v>4933</v>
      </c>
      <c r="D21" s="11" t="n">
        <f aca="false">SUMIFS(BOM!$V$5:$V$247,BOM!$L$5:$L$247,$B21)</f>
        <v>8511</v>
      </c>
      <c r="E21" s="11" t="n">
        <f aca="false">SUMIFS(BOM!$I$5:$I$247,BOM!$L$5:$L$247,$B21)</f>
        <v>6722</v>
      </c>
    </row>
    <row r="22" customFormat="false" ht="15" hidden="false" customHeight="true" outlineLevel="0" collapsed="false">
      <c r="A22" s="3"/>
      <c r="B22" s="3" t="s">
        <v>29</v>
      </c>
      <c r="C22" s="11" t="n">
        <f aca="false">SUMIFS(BOM!$U$5:$U$247,BOM!$L$5:$L$247,$B22)</f>
        <v>393</v>
      </c>
      <c r="D22" s="11" t="n">
        <f aca="false">SUMIFS(BOM!$V$5:$V$247,BOM!$L$5:$L$247,$B22)</f>
        <v>680</v>
      </c>
      <c r="E22" s="11" t="n">
        <f aca="false">SUMIFS(BOM!$I$5:$I$247,BOM!$L$5:$L$247,$B22)</f>
        <v>536.5</v>
      </c>
    </row>
    <row r="23" customFormat="false" ht="15" hidden="false" customHeight="true" outlineLevel="0" collapsed="false">
      <c r="A23" s="3"/>
      <c r="B23" s="3" t="s">
        <v>30</v>
      </c>
      <c r="C23" s="11" t="n">
        <f aca="false">SUMIFS(BOM!$U$5:$U$247,BOM!$L$5:$L$247,$B23)</f>
        <v>1078</v>
      </c>
      <c r="D23" s="11" t="n">
        <f aca="false">SUMIFS(BOM!$V$5:$V$247,BOM!$L$5:$L$247,$B23)</f>
        <v>2305</v>
      </c>
      <c r="E23" s="11" t="n">
        <f aca="false">SUMIFS(BOM!$I$5:$I$247,BOM!$L$5:$L$247,$B23)</f>
        <v>1691.5</v>
      </c>
    </row>
    <row r="24" customFormat="false" ht="15" hidden="false" customHeight="true" outlineLevel="0" collapsed="false">
      <c r="A24" s="3"/>
      <c r="B24" s="3" t="s">
        <v>31</v>
      </c>
      <c r="C24" s="11" t="n">
        <f aca="false">SUMIFS(BOM!$U$5:$U$247,BOM!$L$5:$L$247,$B24)</f>
        <v>1083</v>
      </c>
      <c r="D24" s="11" t="n">
        <f aca="false">SUMIFS(BOM!$V$5:$V$247,BOM!$L$5:$L$247,$B24)</f>
        <v>3553</v>
      </c>
      <c r="E24" s="11" t="n">
        <f aca="false">SUMIFS(BOM!$I$5:$I$247,BOM!$L$5:$L$247,$B24)</f>
        <v>2318</v>
      </c>
    </row>
    <row r="25" customFormat="false" ht="15" hidden="false" customHeight="true" outlineLevel="0" collapsed="false">
      <c r="A25" s="3"/>
      <c r="B25" s="3" t="s">
        <v>32</v>
      </c>
      <c r="C25" s="11" t="n">
        <f aca="false">SUMIFS(BOM!$U$5:$U$247,BOM!$L$5:$L$247,$B25)</f>
        <v>623</v>
      </c>
      <c r="D25" s="11" t="n">
        <f aca="false">SUMIFS(BOM!$V$5:$V$247,BOM!$L$5:$L$247,$B25)</f>
        <v>1340</v>
      </c>
      <c r="E25" s="11" t="n">
        <f aca="false">SUMIFS(BOM!$I$5:$I$247,BOM!$L$5:$L$247,$B25)</f>
        <v>981.5</v>
      </c>
    </row>
    <row r="26" customFormat="false" ht="15" hidden="false" customHeight="true" outlineLevel="0" collapsed="false">
      <c r="A26" s="3"/>
      <c r="B26" s="3" t="s">
        <v>33</v>
      </c>
      <c r="C26" s="11" t="n">
        <f aca="false">SUMIFS(BOM!$U$5:$U$247,BOM!$L$5:$L$247,$B26)</f>
        <v>482</v>
      </c>
      <c r="D26" s="11" t="n">
        <f aca="false">SUMIFS(BOM!$V$5:$V$247,BOM!$L$5:$L$247,$B26)</f>
        <v>1010</v>
      </c>
      <c r="E26" s="11" t="n">
        <f aca="false">SUMIFS(BOM!$I$5:$I$247,BOM!$L$5:$L$247,$B26)</f>
        <v>746</v>
      </c>
    </row>
    <row r="27" customFormat="false" ht="15" hidden="false" customHeight="true" outlineLevel="0" collapsed="false">
      <c r="A27" s="3"/>
      <c r="B27" s="3" t="s">
        <v>34</v>
      </c>
      <c r="C27" s="11" t="n">
        <f aca="false">SUMIFS(BOM!$U$5:$U$247,BOM!$L$5:$L$247,$B27)</f>
        <v>405</v>
      </c>
      <c r="D27" s="11" t="n">
        <f aca="false">SUMIFS(BOM!$V$5:$V$247,BOM!$L$5:$L$247,$B27)</f>
        <v>885</v>
      </c>
      <c r="E27" s="11" t="n">
        <f aca="false">SUMIFS(BOM!$I$5:$I$247,BOM!$L$5:$L$247,$B27)</f>
        <v>645</v>
      </c>
    </row>
    <row r="28" customFormat="false" ht="15" hidden="false" customHeight="true" outlineLevel="0" collapsed="false">
      <c r="A28" s="3"/>
      <c r="B28" s="3" t="s">
        <v>35</v>
      </c>
      <c r="C28" s="11" t="n">
        <f aca="false">SUMIFS(BOM!$U$5:$U$247,BOM!$L$5:$L$247,$B28)</f>
        <v>370</v>
      </c>
      <c r="D28" s="11" t="n">
        <f aca="false">SUMIFS(BOM!$V$5:$V$247,BOM!$L$5:$L$247,$B28)</f>
        <v>925</v>
      </c>
      <c r="E28" s="11" t="n">
        <f aca="false">SUMIFS(BOM!$I$5:$I$247,BOM!$L$5:$L$247,$B28)</f>
        <v>647.5</v>
      </c>
    </row>
    <row r="29" customFormat="false" ht="15" hidden="false" customHeight="true" outlineLevel="0" collapsed="false">
      <c r="A29" s="3"/>
      <c r="B29" s="3" t="s">
        <v>36</v>
      </c>
      <c r="C29" s="11" t="n">
        <f aca="false">SUMIFS(BOM!$U$5:$U$247,BOM!$L$5:$L$247,$B29)</f>
        <v>0</v>
      </c>
      <c r="D29" s="11" t="n">
        <f aca="false">SUMIFS(BOM!$V$5:$V$247,BOM!$L$5:$L$247,$B29)</f>
        <v>0</v>
      </c>
      <c r="E29" s="11" t="n">
        <f aca="false">SUMIFS(BOM!$I$5:$I$247,BOM!$L$5:$L$247,$B29)</f>
        <v>0</v>
      </c>
    </row>
    <row r="30" customFormat="false" ht="15" hidden="false" customHeight="true" outlineLevel="0" collapsed="false">
      <c r="A30" s="3"/>
      <c r="B30" s="3"/>
      <c r="C30" s="3"/>
      <c r="D30" s="3"/>
      <c r="E30" s="3"/>
    </row>
    <row r="31" customFormat="false" ht="15" hidden="false" customHeight="true" outlineLevel="0" collapsed="false">
      <c r="A31" s="5" t="s">
        <v>37</v>
      </c>
      <c r="B31" s="3"/>
      <c r="C31" s="3"/>
      <c r="D31" s="3"/>
      <c r="E31" s="3"/>
    </row>
    <row r="32" customFormat="false" ht="15" hidden="false" customHeight="true" outlineLevel="0" collapsed="false">
      <c r="A32" s="3"/>
      <c r="B32" s="5" t="s">
        <v>18</v>
      </c>
      <c r="C32" s="5" t="s">
        <v>19</v>
      </c>
      <c r="D32" s="5" t="s">
        <v>20</v>
      </c>
      <c r="E32" s="5" t="s">
        <v>21</v>
      </c>
    </row>
    <row r="33" customFormat="false" ht="15" hidden="false" customHeight="true" outlineLevel="0" collapsed="false">
      <c r="A33" s="3"/>
      <c r="B33" s="3" t="s">
        <v>38</v>
      </c>
      <c r="C33" s="11" t="n">
        <f aca="false">SUMIFS(BOM!$U$5:$U$247,BOM!$S$5:$S$247,$B33)</f>
        <v>12015</v>
      </c>
      <c r="D33" s="11" t="n">
        <f aca="false">SUMIFS(BOM!$V$5:$V$247,BOM!$S$5:$S$247,$B33)</f>
        <v>23335</v>
      </c>
      <c r="E33" s="11" t="n">
        <f aca="false">SUMIFS(BOM!$I$5:$I$247,BOM!$S$5:$S$247,$B33)</f>
        <v>17675</v>
      </c>
    </row>
    <row r="34" customFormat="false" ht="15" hidden="false" customHeight="true" outlineLevel="0" collapsed="false">
      <c r="A34" s="3"/>
      <c r="B34" s="3" t="s">
        <v>39</v>
      </c>
      <c r="C34" s="11" t="n">
        <f aca="false">SUMIFS(BOM!$U$5:$U$247,BOM!$S$5:$S$247,$B34)</f>
        <v>860</v>
      </c>
      <c r="D34" s="11" t="n">
        <f aca="false">SUMIFS(BOM!$V$5:$V$247,BOM!$S$5:$S$247,$B34)</f>
        <v>1940</v>
      </c>
      <c r="E34" s="11" t="n">
        <f aca="false">SUMIFS(BOM!$I$5:$I$247,BOM!$S$5:$S$247,$B34)</f>
        <v>1400</v>
      </c>
    </row>
    <row r="35" customFormat="false" ht="15" hidden="false" customHeight="true" outlineLevel="0" collapsed="false">
      <c r="A35" s="3"/>
      <c r="B35" s="3" t="s">
        <v>40</v>
      </c>
      <c r="C35" s="11" t="n">
        <f aca="false">SUMIFS(BOM!$U$5:$U$247,BOM!$S$5:$S$247,$B35)</f>
        <v>5635</v>
      </c>
      <c r="D35" s="11" t="n">
        <f aca="false">SUMIFS(BOM!$V$5:$V$247,BOM!$S$5:$S$247,$B35)</f>
        <v>13370</v>
      </c>
      <c r="E35" s="11" t="n">
        <f aca="false">SUMIFS(BOM!$I$5:$I$247,BOM!$S$5:$S$247,$B35)</f>
        <v>9502.5</v>
      </c>
    </row>
    <row r="36" customFormat="false" ht="15" hidden="false" customHeight="true" outlineLevel="0" collapsed="false">
      <c r="A36" s="3"/>
      <c r="B36" s="3" t="s">
        <v>41</v>
      </c>
      <c r="C36" s="11" t="n">
        <f aca="false">SUMIFS(BOM!$U$5:$U$247,BOM!$S$5:$S$247,$B36)</f>
        <v>7190</v>
      </c>
      <c r="D36" s="11" t="n">
        <f aca="false">SUMIFS(BOM!$V$5:$V$247,BOM!$S$5:$S$247,$B36)</f>
        <v>14016</v>
      </c>
      <c r="E36" s="11" t="n">
        <f aca="false">SUMIFS(BOM!$I$5:$I$247,BOM!$S$5:$S$247,$B36)</f>
        <v>10603</v>
      </c>
    </row>
    <row r="37" customFormat="false" ht="15" hidden="false" customHeight="true" outlineLevel="0" collapsed="false">
      <c r="A37" s="3"/>
      <c r="B37" s="3" t="s">
        <v>42</v>
      </c>
      <c r="C37" s="11" t="n">
        <f aca="false">SUMIFS(BOM!$U$5:$U$247,BOM!$S$5:$S$247,$B37)</f>
        <v>85</v>
      </c>
      <c r="D37" s="11" t="n">
        <f aca="false">SUMIFS(BOM!$V$5:$V$247,BOM!$S$5:$S$247,$B37)</f>
        <v>495</v>
      </c>
      <c r="E37" s="11" t="n">
        <f aca="false">SUMIFS(BOM!$I$5:$I$247,BOM!$S$5:$S$247,$B37)</f>
        <v>290</v>
      </c>
    </row>
    <row r="38" customFormat="false" ht="15" hidden="false" customHeight="true" outlineLevel="0" collapsed="false">
      <c r="A38" s="3"/>
      <c r="B38" s="3"/>
      <c r="C38" s="3"/>
      <c r="D38" s="3"/>
      <c r="E38" s="3"/>
    </row>
    <row r="39" customFormat="false" ht="15" hidden="false" customHeight="true" outlineLevel="0" collapsed="false">
      <c r="A39" s="5" t="s">
        <v>43</v>
      </c>
      <c r="B39" s="3"/>
      <c r="C39" s="3"/>
      <c r="D39" s="3"/>
      <c r="E39" s="3"/>
    </row>
    <row r="40" customFormat="false" ht="15" hidden="false" customHeight="true" outlineLevel="0" collapsed="false">
      <c r="A40" s="3"/>
      <c r="B40" s="5" t="s">
        <v>18</v>
      </c>
      <c r="C40" s="5" t="s">
        <v>19</v>
      </c>
      <c r="D40" s="5" t="s">
        <v>20</v>
      </c>
      <c r="E40" s="5" t="s">
        <v>21</v>
      </c>
    </row>
    <row r="41" customFormat="false" ht="15" hidden="false" customHeight="true" outlineLevel="0" collapsed="false">
      <c r="A41" s="3"/>
      <c r="B41" s="3" t="s">
        <v>44</v>
      </c>
      <c r="C41" s="11" t="n">
        <f aca="false">SUMIFS(BOM!$U$5:$U$247,BOM!$Q$5:$Q$247,$B41)</f>
        <v>24758</v>
      </c>
      <c r="D41" s="11" t="n">
        <f aca="false">SUMIFS(BOM!$V$5:$V$247,BOM!$Q$5:$Q$247,$B41)</f>
        <v>50596</v>
      </c>
      <c r="E41" s="11" t="n">
        <f aca="false">SUMIFS(BOM!$I$5:$I$247,BOM!$Q$5:$Q$247,$B41)</f>
        <v>37677</v>
      </c>
    </row>
    <row r="42" customFormat="false" ht="15" hidden="false" customHeight="true" outlineLevel="0" collapsed="false">
      <c r="A42" s="3"/>
      <c r="B42" s="3" t="s">
        <v>45</v>
      </c>
      <c r="C42" s="11" t="n">
        <f aca="false">SUMIFS(BOM!$U$5:$U$247,BOM!$Q$5:$Q$247,$B42)</f>
        <v>1027</v>
      </c>
      <c r="D42" s="11" t="n">
        <f aca="false">SUMIFS(BOM!$V$5:$V$247,BOM!$Q$5:$Q$247,$B42)</f>
        <v>2560</v>
      </c>
      <c r="E42" s="11" t="n">
        <f aca="false">SUMIFS(BOM!$I$5:$I$247,BOM!$Q$5:$Q$247,$B42)</f>
        <v>1793.5</v>
      </c>
    </row>
    <row r="43" customFormat="false" ht="15" hidden="false" customHeight="true" outlineLevel="0" collapsed="false">
      <c r="A43" s="3"/>
      <c r="B43" s="3" t="s">
        <v>46</v>
      </c>
      <c r="C43" s="11" t="n">
        <f aca="false">SUMIFS(BOM!$U$5:$U$247,BOM!$Q$5:$Q$247,$B43)</f>
        <v>0</v>
      </c>
      <c r="D43" s="11" t="n">
        <f aca="false">SUMIFS(BOM!$V$5:$V$247,BOM!$Q$5:$Q$247,$B43)</f>
        <v>0</v>
      </c>
      <c r="E43" s="11" t="n">
        <f aca="false">SUMIFS(BOM!$I$5:$I$247,BOM!$Q$5:$Q$247,$B43)</f>
        <v>0</v>
      </c>
    </row>
    <row r="44" customFormat="false" ht="15" hidden="false" customHeight="true" outlineLevel="0" collapsed="false">
      <c r="A44" s="3"/>
      <c r="B44" s="3" t="s">
        <v>47</v>
      </c>
      <c r="C44" s="11" t="n">
        <f aca="false">SUMIFS(BOM!$U$5:$U$247,BOM!$Q$5:$Q$247,$B44)</f>
        <v>0</v>
      </c>
      <c r="D44" s="11" t="n">
        <f aca="false">SUMIFS(BOM!$V$5:$V$247,BOM!$Q$5:$Q$247,$B44)</f>
        <v>0</v>
      </c>
      <c r="E44" s="11" t="n">
        <f aca="false">SUMIFS(BOM!$I$5:$I$247,BOM!$Q$5:$Q$247,$B44)</f>
        <v>0</v>
      </c>
    </row>
    <row r="45" customFormat="false" ht="15" hidden="false" customHeight="true" outlineLevel="0" collapsed="false">
      <c r="A45" s="3"/>
      <c r="B45" s="3"/>
      <c r="C45" s="3"/>
      <c r="D45" s="3"/>
      <c r="E45" s="3"/>
    </row>
    <row r="46" customFormat="false" ht="15" hidden="false" customHeight="true" outlineLevel="0" collapsed="false">
      <c r="A46" s="5" t="s">
        <v>48</v>
      </c>
      <c r="B46" s="3"/>
      <c r="C46" s="3"/>
      <c r="D46" s="3"/>
      <c r="E46" s="3"/>
    </row>
    <row r="47" customFormat="false" ht="15" hidden="false" customHeight="true" outlineLevel="0" collapsed="false">
      <c r="A47" s="3"/>
      <c r="B47" s="5" t="s">
        <v>18</v>
      </c>
      <c r="C47" s="5" t="s">
        <v>19</v>
      </c>
      <c r="D47" s="5" t="s">
        <v>20</v>
      </c>
      <c r="E47" s="5" t="s">
        <v>21</v>
      </c>
    </row>
    <row r="48" customFormat="false" ht="15" hidden="false" customHeight="true" outlineLevel="0" collapsed="false">
      <c r="A48" s="3"/>
      <c r="B48" s="3" t="s">
        <v>49</v>
      </c>
      <c r="C48" s="12" t="n">
        <f aca="false">SUMIFS(BOM!$U$5:$U$247,BOM!$A$5:$A$247,"D01")</f>
        <v>11500</v>
      </c>
      <c r="D48" s="12" t="n">
        <f aca="false">SUMIFS(BOM!$V$5:$V$247,BOM!$A$5:$A$247,"D01")</f>
        <v>21000</v>
      </c>
      <c r="E48" s="12" t="n">
        <f aca="false">SUMIFS(BOM!$I$5:$I$247,BOM!$A$5:$A$247,"D01")</f>
        <v>16250</v>
      </c>
    </row>
    <row r="49" customFormat="false" ht="15" hidden="false" customHeight="true" outlineLevel="0" collapsed="false">
      <c r="A49" s="3"/>
      <c r="B49" s="3" t="s">
        <v>50</v>
      </c>
      <c r="C49" s="12" t="n">
        <f aca="false">SUM(BOM!$U$5:$U$247)-C48</f>
        <v>14285</v>
      </c>
      <c r="D49" s="12" t="n">
        <f aca="false">SUM(BOM!$V$5:$V$247)-D48</f>
        <v>32156</v>
      </c>
      <c r="E49" s="12" t="n">
        <f aca="false">SUM(BOM!$I$5:$I$247)-E48</f>
        <v>23220.5</v>
      </c>
    </row>
    <row r="50" customFormat="false" ht="15" hidden="false" customHeight="true" outlineLevel="0" collapsed="false">
      <c r="A50" s="3"/>
      <c r="B50" s="3" t="s">
        <v>51</v>
      </c>
      <c r="C50" s="12" t="n">
        <f aca="false">SUMIFS(BOM!$U$5:$U$247,BOM!$H$5:$H$247,"&lt;&gt;")-SUMIFS(BOM!$U$5:$U$247,BOM!$A$5:$A$247,"D01",BOM!$H$5:$H$247,"&lt;&gt;")</f>
        <v>0</v>
      </c>
      <c r="D50" s="12" t="n">
        <f aca="false">SUMIFS(BOM!$V$5:$V$247,BOM!$H$5:$H$247,"&lt;&gt;")-SUMIFS(BOM!$V$5:$V$247,BOM!$A$5:$A$247,"D01",BOM!$H$5:$H$247,"&lt;&gt;")</f>
        <v>0</v>
      </c>
      <c r="E50" s="12" t="n">
        <f aca="false">SUMIFS(BOM!$I$5:$I$247,BOM!$H$5:$H$247,"&lt;&gt;")-SUMIFS(BOM!$I$5:$I$247,BOM!$A$5:$A$247,"D01",BOM!$H$5:$H$247,"&lt;&gt;")</f>
        <v>0</v>
      </c>
    </row>
    <row r="51" customFormat="false" ht="15" hidden="false" customHeight="true" outlineLevel="0" collapsed="false">
      <c r="A51" s="3"/>
      <c r="B51" s="3" t="s">
        <v>52</v>
      </c>
      <c r="C51" s="12" t="n">
        <f aca="false">C49-C50</f>
        <v>14285</v>
      </c>
      <c r="D51" s="12" t="n">
        <f aca="false">D49-D50</f>
        <v>32156</v>
      </c>
      <c r="E51" s="12" t="n">
        <f aca="false">E49-E50</f>
        <v>23220.5</v>
      </c>
    </row>
    <row r="52" customFormat="false" ht="15" hidden="false" customHeight="true" outlineLevel="0" collapsed="false">
      <c r="A52" s="3"/>
      <c r="B52" s="3" t="s">
        <v>53</v>
      </c>
      <c r="C52" s="12" t="n">
        <f aca="false">C51*$C$10</f>
        <v>3571.25</v>
      </c>
      <c r="D52" s="12" t="n">
        <f aca="false">D51*$C$10</f>
        <v>8039</v>
      </c>
      <c r="E52" s="12" t="n">
        <f aca="false">E51*$C$10</f>
        <v>5805.125</v>
      </c>
    </row>
    <row r="53" customFormat="false" ht="15" hidden="false" customHeight="true" outlineLevel="0" collapsed="false">
      <c r="A53" s="3"/>
      <c r="B53" s="3" t="s">
        <v>54</v>
      </c>
      <c r="C53" s="12" t="n">
        <f aca="false">C49+C52</f>
        <v>17856.25</v>
      </c>
      <c r="D53" s="12" t="n">
        <f aca="false">D49+D52</f>
        <v>40195</v>
      </c>
      <c r="E53" s="12" t="n">
        <f aca="false">E49+E52</f>
        <v>29025.625</v>
      </c>
    </row>
    <row r="54" customFormat="false" ht="15" hidden="false" customHeight="true" outlineLevel="0" collapsed="false">
      <c r="A54" s="3"/>
      <c r="B54" s="13" t="s">
        <v>55</v>
      </c>
      <c r="C54" s="14" t="n">
        <f aca="false">C48+C53</f>
        <v>29356.25</v>
      </c>
      <c r="D54" s="14" t="n">
        <f aca="false">D48+D53</f>
        <v>61195</v>
      </c>
      <c r="E54" s="14" t="n">
        <f aca="false">E48+E53</f>
        <v>45275.625</v>
      </c>
    </row>
    <row r="55" customFormat="false" ht="15" hidden="false" customHeight="true" outlineLevel="0" collapsed="false">
      <c r="A55" s="3"/>
      <c r="B55" s="3"/>
      <c r="C55" s="3"/>
      <c r="D55" s="3"/>
      <c r="E55" s="3"/>
    </row>
    <row r="56" customFormat="false" ht="15" hidden="false" customHeight="true" outlineLevel="0" collapsed="false">
      <c r="A56" s="5" t="s">
        <v>56</v>
      </c>
      <c r="B56" s="3"/>
      <c r="C56" s="3"/>
      <c r="D56" s="3"/>
      <c r="E56" s="3"/>
    </row>
    <row r="57" customFormat="false" ht="15" hidden="false" customHeight="true" outlineLevel="0" collapsed="false">
      <c r="A57" s="3"/>
      <c r="B57" s="3" t="s">
        <v>57</v>
      </c>
      <c r="C57" s="3" t="n">
        <f aca="false">COUNTIFS(BOM!$K$5:$K$247,"Y")-COUNTIFS(BOM!$K$5:$K$247,"Y",BOM!$T$5:$T$247,"&lt;&gt;",BOM!$T$5:$T$247,"&lt;&gt;"&amp;$C$11)</f>
        <v>212</v>
      </c>
      <c r="D57" s="3"/>
      <c r="E57" s="3"/>
    </row>
    <row r="58" customFormat="false" ht="15" hidden="false" customHeight="true" outlineLevel="0" collapsed="false">
      <c r="A58" s="3"/>
      <c r="B58" s="3" t="s">
        <v>58</v>
      </c>
      <c r="C58" s="3" t="n">
        <f aca="false">COUNTIFS(BOM!$K$5:$K$247,"Y",BOM!$H$5:$H$247,"&lt;&gt;")</f>
        <v>0</v>
      </c>
      <c r="D58" s="3"/>
      <c r="E58" s="3"/>
    </row>
    <row r="59" customFormat="false" ht="15" hidden="false" customHeight="true" outlineLevel="0" collapsed="false">
      <c r="A59" s="3"/>
      <c r="B59" s="3" t="s">
        <v>59</v>
      </c>
      <c r="C59" s="3" t="n">
        <f aca="false">COUNTIFS(BOM!$K$5:$K$247,"Y",BOM!$F$5:$F$247,"Y")</f>
        <v>15</v>
      </c>
      <c r="D59" s="3"/>
      <c r="E59" s="3"/>
    </row>
    <row r="60" customFormat="false" ht="15" hidden="false" customHeight="true" outlineLevel="0" collapsed="false">
      <c r="A60" s="3"/>
      <c r="B60" s="3" t="s">
        <v>60</v>
      </c>
      <c r="C60" s="3" t="n">
        <f aca="false">COUNTIFS(BOM!$K$5:$K$247,"Y",BOM!$G$5:$G$247,"Y")</f>
        <v>35</v>
      </c>
      <c r="D60" s="3"/>
      <c r="E60" s="3"/>
    </row>
    <row r="61" customFormat="false" ht="15" hidden="false" customHeight="true" outlineLevel="0" collapsed="false">
      <c r="A61" s="3"/>
      <c r="B61" s="3" t="s">
        <v>61</v>
      </c>
      <c r="C61" s="3" t="n">
        <f aca="false">COUNTIFS(BOM!$K$5:$K$247,"Y",BOM!$J$5:$J$247,"To decide")</f>
        <v>29</v>
      </c>
      <c r="D61" s="3"/>
      <c r="E61" s="3"/>
    </row>
    <row r="62" customFormat="false" ht="15" hidden="false" customHeight="true" outlineLevel="0" collapsed="false">
      <c r="A62" s="3"/>
      <c r="B62" s="3"/>
      <c r="C62" s="3"/>
      <c r="D62" s="3"/>
      <c r="E62" s="3"/>
    </row>
    <row r="63" customFormat="false" ht="15" hidden="false" customHeight="true" outlineLevel="0" collapsed="false">
      <c r="A63" s="3"/>
      <c r="B63" s="5" t="s">
        <v>62</v>
      </c>
      <c r="C63" s="3"/>
      <c r="D63" s="3"/>
      <c r="E63" s="3"/>
    </row>
    <row r="64" customFormat="false" ht="31.5" hidden="false" customHeight="true" outlineLevel="0" collapsed="false">
      <c r="A64" s="3"/>
      <c r="B64" s="15" t="s">
        <v>63</v>
      </c>
      <c r="C64" s="15"/>
      <c r="D64" s="15"/>
      <c r="E64" s="15"/>
    </row>
    <row r="65" customFormat="false" ht="31.5" hidden="false" customHeight="true" outlineLevel="0" collapsed="false">
      <c r="A65" s="3"/>
      <c r="B65" s="15" t="s">
        <v>64</v>
      </c>
      <c r="C65" s="15"/>
      <c r="D65" s="15"/>
      <c r="E65" s="15"/>
    </row>
    <row r="66" customFormat="false" ht="31.5" hidden="false" customHeight="true" outlineLevel="0" collapsed="false">
      <c r="A66" s="3"/>
      <c r="B66" s="15" t="s">
        <v>65</v>
      </c>
      <c r="C66" s="15"/>
      <c r="D66" s="15"/>
      <c r="E66" s="15"/>
    </row>
    <row r="68" customFormat="false" ht="15" hidden="false" customHeight="false" outlineLevel="0" collapsed="false">
      <c r="A68" s="5" t="s">
        <v>66</v>
      </c>
    </row>
    <row r="69" customFormat="false" ht="15" hidden="false" customHeight="false" outlineLevel="0" collapsed="false">
      <c r="B69" s="5" t="s">
        <v>18</v>
      </c>
      <c r="C69" s="5" t="s">
        <v>19</v>
      </c>
      <c r="D69" s="5" t="s">
        <v>20</v>
      </c>
      <c r="E69" s="5" t="s">
        <v>21</v>
      </c>
    </row>
    <row r="70" customFormat="false" ht="15" hidden="false" customHeight="false" outlineLevel="0" collapsed="false">
      <c r="B70" s="3" t="s">
        <v>67</v>
      </c>
      <c r="C70" s="12" t="n">
        <f aca="false">SUM(CNC!$U$5:$U$50)</f>
        <v>349.98</v>
      </c>
      <c r="D70" s="12" t="n">
        <f aca="false">SUM(CNC!$V$5:$V$50)</f>
        <v>349.98</v>
      </c>
      <c r="E70" s="12" t="n">
        <f aca="false">SUM(CNC!$I$5:$I$50)</f>
        <v>349.98</v>
      </c>
    </row>
    <row r="71" customFormat="false" ht="15" hidden="false" customHeight="false" outlineLevel="0" collapsed="false">
      <c r="B71" s="3" t="s">
        <v>51</v>
      </c>
      <c r="C71" s="12" t="n">
        <f aca="false">SUMIFS(CNC!$U$5:$U$50,CNC!$H$5:$H$50,"&lt;&gt;")</f>
        <v>349.98</v>
      </c>
      <c r="D71" s="12" t="n">
        <f aca="false">SUMIFS(CNC!$V$5:$V$50,CNC!$H$5:$H$50,"&lt;&gt;")</f>
        <v>349.98</v>
      </c>
      <c r="E71" s="12" t="n">
        <f aca="false">SUMIFS(CNC!$I$5:$I$50,CNC!$H$5:$H$50,"&lt;&gt;")</f>
        <v>349.98</v>
      </c>
    </row>
    <row r="72" customFormat="false" ht="15" hidden="false" customHeight="false" outlineLevel="0" collapsed="false">
      <c r="B72" s="3" t="s">
        <v>52</v>
      </c>
      <c r="C72" s="12" t="n">
        <f aca="false">C70-C71</f>
        <v>0</v>
      </c>
      <c r="D72" s="12" t="n">
        <f aca="false">D70-D71</f>
        <v>0</v>
      </c>
      <c r="E72" s="12" t="n">
        <f aca="false">E70-E71</f>
        <v>0</v>
      </c>
    </row>
    <row r="73" customFormat="false" ht="15" hidden="false" customHeight="false" outlineLevel="0" collapsed="false">
      <c r="B73" s="3" t="s">
        <v>53</v>
      </c>
      <c r="C73" s="12" t="n">
        <f aca="false">C72*$C$10</f>
        <v>0</v>
      </c>
      <c r="D73" s="12" t="n">
        <f aca="false">D72*$C$10</f>
        <v>0</v>
      </c>
      <c r="E73" s="12" t="n">
        <f aca="false">E72*$C$10</f>
        <v>0</v>
      </c>
    </row>
    <row r="74" customFormat="false" ht="15" hidden="false" customHeight="false" outlineLevel="0" collapsed="false">
      <c r="B74" s="3" t="s">
        <v>68</v>
      </c>
      <c r="C74" s="12" t="n">
        <f aca="false">C70+C73</f>
        <v>349.98</v>
      </c>
      <c r="D74" s="12" t="n">
        <f aca="false">D70+D73</f>
        <v>349.98</v>
      </c>
      <c r="E74" s="12" t="n">
        <f aca="false">E70+E73</f>
        <v>349.98</v>
      </c>
    </row>
    <row r="76" customFormat="false" ht="15" hidden="false" customHeight="false" outlineLevel="0" collapsed="false">
      <c r="B76" s="5" t="s">
        <v>69</v>
      </c>
    </row>
    <row r="77" customFormat="false" ht="15" hidden="false" customHeight="false" outlineLevel="0" collapsed="false">
      <c r="B77" s="3" t="s">
        <v>70</v>
      </c>
      <c r="C77" s="3" t="n">
        <f aca="false">COUNTIFS(CNC!$K$5:$K$50,"Y")</f>
        <v>42</v>
      </c>
    </row>
    <row r="78" customFormat="false" ht="15" hidden="false" customHeight="false" outlineLevel="0" collapsed="false">
      <c r="B78" s="3" t="s">
        <v>71</v>
      </c>
      <c r="C78" s="3" t="n">
        <f aca="false">COUNTIFS(CNC!$K$5:$K$50,"Y",CNC!$H$5:$H$50,"&lt;&gt;")</f>
        <v>3</v>
      </c>
    </row>
    <row r="79" customFormat="false" ht="15" hidden="false" customHeight="false" outlineLevel="0" collapsed="false">
      <c r="B79" s="3" t="s">
        <v>59</v>
      </c>
      <c r="C79" s="3" t="n">
        <f aca="false">COUNTIFS(CNC!$K$5:$K$50,"Y",CNC!$F$5:$F$50,"Y")</f>
        <v>2</v>
      </c>
    </row>
    <row r="80" customFormat="false" ht="15" hidden="false" customHeight="false" outlineLevel="0" collapsed="false">
      <c r="B80" s="3" t="s">
        <v>72</v>
      </c>
      <c r="C80" s="3" t="n">
        <f aca="false">COUNTIFS(CNC!$K$5:$K$50,"Y",CNC!$F$5:$F$50,"&lt;&gt;Y",CNC!$H$5:$H$50,"",CNC!$D$5:$D$50,"",CNC!$E$5:$E$50,"")</f>
        <v>37</v>
      </c>
    </row>
    <row r="81" customFormat="false" ht="15" hidden="false" customHeight="false" outlineLevel="0" collapsed="false">
      <c r="B81" s="3" t="s">
        <v>61</v>
      </c>
      <c r="C81" s="3" t="n">
        <f aca="false">COUNTIFS(CNC!$K$5:$K$50,"Y",CNC!$J$5:$J$50,"To decide")</f>
        <v>2</v>
      </c>
    </row>
    <row r="83" customFormat="false" ht="39.55" hidden="false" customHeight="false" outlineLevel="0" collapsed="false">
      <c r="B83" s="9" t="s">
        <v>73</v>
      </c>
    </row>
  </sheetData>
  <mergeCells count="3">
    <mergeCell ref="B64:E64"/>
    <mergeCell ref="B65:E65"/>
    <mergeCell ref="B66:E66"/>
  </mergeCells>
  <dataValidations count="1">
    <dataValidation allowBlank="false" errorStyle="stop" operator="between" showDropDown="false" showErrorMessage="false" showInputMessage="false" sqref="C11" type="list">
      <formula1>"RX-8,ZN6 TL70"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1"/>
  <cols>
    <col collapsed="false" customWidth="true" hidden="false" outlineLevel="0" max="1" min="1" style="1" width="6"/>
    <col collapsed="false" customWidth="true" hidden="false" outlineLevel="0" max="2" min="2" style="1" width="58"/>
    <col collapsed="false" customWidth="true" hidden="false" outlineLevel="0" max="3" min="3" style="1" width="5"/>
    <col collapsed="false" customWidth="true" hidden="false" outlineLevel="0" max="5" min="4" style="1" width="9"/>
    <col collapsed="false" customWidth="true" hidden="false" outlineLevel="0" max="7" min="6" style="1" width="6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6"/>
    <col collapsed="false" customWidth="true" hidden="true" outlineLevel="1" max="24" min="12" style="1" width="15"/>
  </cols>
  <sheetData>
    <row r="1" customFormat="false" ht="17.25" hidden="false" customHeight="true" outlineLevel="0" collapsed="false">
      <c r="A1" s="2" t="s">
        <v>74</v>
      </c>
    </row>
    <row r="2" customFormat="false" ht="30" hidden="false" customHeight="true" outlineLevel="0" collapsed="false">
      <c r="A2" s="16" t="s">
        <v>75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4" customFormat="false" ht="31.5" hidden="false" customHeight="true" outlineLevel="0" collapsed="false">
      <c r="A4" s="17" t="s">
        <v>76</v>
      </c>
      <c r="B4" s="17" t="s">
        <v>77</v>
      </c>
      <c r="C4" s="17" t="s">
        <v>78</v>
      </c>
      <c r="D4" s="17" t="s">
        <v>79</v>
      </c>
      <c r="E4" s="17" t="s">
        <v>80</v>
      </c>
      <c r="F4" s="17" t="s">
        <v>81</v>
      </c>
      <c r="G4" s="17" t="s">
        <v>82</v>
      </c>
      <c r="H4" s="17" t="s">
        <v>83</v>
      </c>
      <c r="I4" s="17" t="s">
        <v>84</v>
      </c>
      <c r="J4" s="17" t="s">
        <v>85</v>
      </c>
      <c r="K4" s="17" t="s">
        <v>86</v>
      </c>
      <c r="L4" s="17" t="s">
        <v>87</v>
      </c>
      <c r="M4" s="17" t="s">
        <v>88</v>
      </c>
      <c r="N4" s="17" t="s">
        <v>89</v>
      </c>
      <c r="O4" s="17" t="s">
        <v>90</v>
      </c>
      <c r="P4" s="17" t="s">
        <v>91</v>
      </c>
      <c r="Q4" s="17" t="s">
        <v>5</v>
      </c>
      <c r="R4" s="17" t="s">
        <v>92</v>
      </c>
      <c r="S4" s="17" t="s">
        <v>93</v>
      </c>
      <c r="T4" s="17" t="s">
        <v>94</v>
      </c>
      <c r="U4" s="17" t="s">
        <v>95</v>
      </c>
      <c r="V4" s="17" t="s">
        <v>96</v>
      </c>
      <c r="W4" s="17" t="s">
        <v>97</v>
      </c>
      <c r="X4" s="17" t="s">
        <v>98</v>
      </c>
    </row>
    <row r="5" customFormat="false" ht="30" hidden="false" customHeight="true" outlineLevel="0" collapsed="false">
      <c r="A5" s="18" t="s">
        <v>99</v>
      </c>
      <c r="B5" s="19" t="s">
        <v>100</v>
      </c>
      <c r="C5" s="20" t="n">
        <v>1</v>
      </c>
      <c r="D5" s="21" t="n">
        <v>11500</v>
      </c>
      <c r="E5" s="21" t="n">
        <v>21000</v>
      </c>
      <c r="F5" s="20" t="s">
        <v>101</v>
      </c>
      <c r="G5" s="20" t="s">
        <v>101</v>
      </c>
      <c r="H5" s="22"/>
      <c r="I5" s="23" t="n">
        <f aca="false">IF(AND($K5="Y",$F5&lt;&gt;"Y",OR($T5="",$T5=Summary!$C$11)),$C5*IF($H5&lt;&gt;"",$H5,($D5+$E5)/2)*INDEX(Summary!$C$6:$C$8,MATCH($P5,Summary!$B$6:$B$8,0)),0)</f>
        <v>16250</v>
      </c>
      <c r="J5" s="20" t="s">
        <v>102</v>
      </c>
      <c r="K5" s="20" t="s">
        <v>103</v>
      </c>
      <c r="L5" s="24" t="s">
        <v>22</v>
      </c>
      <c r="M5" s="24" t="s">
        <v>104</v>
      </c>
      <c r="N5" s="19" t="s">
        <v>105</v>
      </c>
      <c r="O5" s="18" t="s">
        <v>106</v>
      </c>
      <c r="P5" s="20" t="s">
        <v>6</v>
      </c>
      <c r="Q5" s="18" t="s">
        <v>44</v>
      </c>
      <c r="R5" s="24" t="s">
        <v>107</v>
      </c>
      <c r="S5" s="18" t="s">
        <v>38</v>
      </c>
      <c r="T5" s="18"/>
      <c r="U5" s="25" t="n">
        <f aca="false">IF(AND($K5="Y",$F5&lt;&gt;"Y",OR($T5="",$T5=Summary!$C$11)),$C5*IF($H5&lt;&gt;"",$H5,$D5)*INDEX(Summary!$C$6:$C$8,MATCH($P5,Summary!$B$6:$B$8,0)),0)</f>
        <v>11500</v>
      </c>
      <c r="V5" s="25" t="n">
        <f aca="false">IF(AND($K5="Y",$F5&lt;&gt;"Y",OR($T5="",$T5=Summary!$C$11)),$C5*IF($H5&lt;&gt;"",$H5,$E5)*INDEX(Summary!$C$6:$C$8,MATCH($P5,Summary!$B$6:$B$8,0)),0)</f>
        <v>21000</v>
      </c>
      <c r="W5" s="18" t="s">
        <v>62</v>
      </c>
      <c r="X5" s="26" t="s">
        <v>108</v>
      </c>
    </row>
    <row r="6" customFormat="false" ht="30" hidden="false" customHeight="true" outlineLevel="0" collapsed="false">
      <c r="A6" s="18" t="s">
        <v>109</v>
      </c>
      <c r="B6" s="19" t="s">
        <v>110</v>
      </c>
      <c r="C6" s="20" t="n">
        <v>1</v>
      </c>
      <c r="D6" s="21" t="n">
        <v>425</v>
      </c>
      <c r="E6" s="21" t="n">
        <v>1635</v>
      </c>
      <c r="F6" s="20" t="s">
        <v>101</v>
      </c>
      <c r="G6" s="20" t="s">
        <v>101</v>
      </c>
      <c r="H6" s="22"/>
      <c r="I6" s="23" t="n">
        <f aca="false">IF(AND($K6="Y",$F6&lt;&gt;"Y",OR($T6="",$T6=Summary!$C$11)),$C6*IF($H6&lt;&gt;"",$H6,($D6+$E6)/2)*INDEX(Summary!$C$6:$C$8,MATCH($P6,Summary!$B$6:$B$8,0)),0)</f>
        <v>1030</v>
      </c>
      <c r="J6" s="20" t="s">
        <v>102</v>
      </c>
      <c r="K6" s="20" t="s">
        <v>103</v>
      </c>
      <c r="L6" s="24" t="s">
        <v>22</v>
      </c>
      <c r="M6" s="24" t="s">
        <v>111</v>
      </c>
      <c r="N6" s="19" t="s">
        <v>112</v>
      </c>
      <c r="O6" s="18" t="s">
        <v>106</v>
      </c>
      <c r="P6" s="20" t="s">
        <v>6</v>
      </c>
      <c r="Q6" s="18" t="s">
        <v>44</v>
      </c>
      <c r="R6" s="24" t="s">
        <v>113</v>
      </c>
      <c r="S6" s="18" t="s">
        <v>38</v>
      </c>
      <c r="T6" s="18"/>
      <c r="U6" s="25" t="n">
        <f aca="false">IF(AND($K6="Y",$F6&lt;&gt;"Y",OR($T6="",$T6=Summary!$C$11)),$C6*IF($H6&lt;&gt;"",$H6,$D6)*INDEX(Summary!$C$6:$C$8,MATCH($P6,Summary!$B$6:$B$8,0)),0)</f>
        <v>425</v>
      </c>
      <c r="V6" s="25" t="n">
        <f aca="false">IF(AND($K6="Y",$F6&lt;&gt;"Y",OR($T6="",$T6=Summary!$C$11)),$C6*IF($H6&lt;&gt;"",$H6,$E6)*INDEX(Summary!$C$6:$C$8,MATCH($P6,Summary!$B$6:$B$8,0)),0)</f>
        <v>1635</v>
      </c>
      <c r="W6" s="18" t="s">
        <v>62</v>
      </c>
      <c r="X6" s="26" t="s">
        <v>114</v>
      </c>
    </row>
    <row r="7" customFormat="false" ht="30" hidden="false" customHeight="true" outlineLevel="0" collapsed="false">
      <c r="A7" s="18" t="s">
        <v>115</v>
      </c>
      <c r="B7" s="19" t="s">
        <v>116</v>
      </c>
      <c r="C7" s="20" t="n">
        <v>1</v>
      </c>
      <c r="D7" s="21" t="n">
        <v>0</v>
      </c>
      <c r="E7" s="21" t="n">
        <v>400</v>
      </c>
      <c r="F7" s="20" t="s">
        <v>101</v>
      </c>
      <c r="G7" s="20" t="s">
        <v>101</v>
      </c>
      <c r="H7" s="22"/>
      <c r="I7" s="23" t="n">
        <f aca="false">IF(AND($K7="Y",$F7&lt;&gt;"Y",OR($T7="",$T7=Summary!$C$11)),$C7*IF($H7&lt;&gt;"",$H7,($D7+$E7)/2)*INDEX(Summary!$C$6:$C$8,MATCH($P7,Summary!$B$6:$B$8,0)),0)</f>
        <v>200</v>
      </c>
      <c r="J7" s="20" t="s">
        <v>102</v>
      </c>
      <c r="K7" s="20" t="s">
        <v>103</v>
      </c>
      <c r="L7" s="24" t="s">
        <v>22</v>
      </c>
      <c r="M7" s="24" t="s">
        <v>111</v>
      </c>
      <c r="N7" s="19" t="s">
        <v>117</v>
      </c>
      <c r="O7" s="18" t="s">
        <v>106</v>
      </c>
      <c r="P7" s="20" t="s">
        <v>6</v>
      </c>
      <c r="Q7" s="18" t="s">
        <v>44</v>
      </c>
      <c r="R7" s="24" t="s">
        <v>7</v>
      </c>
      <c r="S7" s="18" t="s">
        <v>38</v>
      </c>
      <c r="T7" s="18"/>
      <c r="U7" s="25" t="n">
        <f aca="false">IF(AND($K7="Y",$F7&lt;&gt;"Y",OR($T7="",$T7=Summary!$C$11)),$C7*IF($H7&lt;&gt;"",$H7,$D7)*INDEX(Summary!$C$6:$C$8,MATCH($P7,Summary!$B$6:$B$8,0)),0)</f>
        <v>0</v>
      </c>
      <c r="V7" s="25" t="n">
        <f aca="false">IF(AND($K7="Y",$F7&lt;&gt;"Y",OR($T7="",$T7=Summary!$C$11)),$C7*IF($H7&lt;&gt;"",$H7,$E7)*INDEX(Summary!$C$6:$C$8,MATCH($P7,Summary!$B$6:$B$8,0)),0)</f>
        <v>400</v>
      </c>
      <c r="W7" s="18" t="s">
        <v>118</v>
      </c>
      <c r="X7" s="24"/>
    </row>
    <row r="8" customFormat="false" ht="30" hidden="false" customHeight="true" outlineLevel="0" collapsed="false">
      <c r="A8" s="18" t="s">
        <v>119</v>
      </c>
      <c r="B8" s="19" t="s">
        <v>120</v>
      </c>
      <c r="C8" s="20" t="n">
        <v>1</v>
      </c>
      <c r="D8" s="21" t="n">
        <v>70</v>
      </c>
      <c r="E8" s="21" t="n">
        <v>215</v>
      </c>
      <c r="F8" s="20" t="s">
        <v>101</v>
      </c>
      <c r="G8" s="20" t="s">
        <v>101</v>
      </c>
      <c r="H8" s="22"/>
      <c r="I8" s="23" t="n">
        <f aca="false">IF(AND($K8="Y",$F8&lt;&gt;"Y",OR($T8="",$T8=Summary!$C$11)),$C8*IF($H8&lt;&gt;"",$H8,($D8+$E8)/2)*INDEX(Summary!$C$6:$C$8,MATCH($P8,Summary!$B$6:$B$8,0)),0)</f>
        <v>142.5</v>
      </c>
      <c r="J8" s="20" t="s">
        <v>102</v>
      </c>
      <c r="K8" s="20" t="s">
        <v>103</v>
      </c>
      <c r="L8" s="24" t="s">
        <v>22</v>
      </c>
      <c r="M8" s="24" t="s">
        <v>121</v>
      </c>
      <c r="N8" s="19" t="s">
        <v>122</v>
      </c>
      <c r="O8" s="18" t="s">
        <v>106</v>
      </c>
      <c r="P8" s="20" t="s">
        <v>6</v>
      </c>
      <c r="Q8" s="18" t="s">
        <v>44</v>
      </c>
      <c r="R8" s="24" t="s">
        <v>123</v>
      </c>
      <c r="S8" s="18" t="s">
        <v>38</v>
      </c>
      <c r="T8" s="18"/>
      <c r="U8" s="25" t="n">
        <f aca="false">IF(AND($K8="Y",$F8&lt;&gt;"Y",OR($T8="",$T8=Summary!$C$11)),$C8*IF($H8&lt;&gt;"",$H8,$D8)*INDEX(Summary!$C$6:$C$8,MATCH($P8,Summary!$B$6:$B$8,0)),0)</f>
        <v>70</v>
      </c>
      <c r="V8" s="25" t="n">
        <f aca="false">IF(AND($K8="Y",$F8&lt;&gt;"Y",OR($T8="",$T8=Summary!$C$11)),$C8*IF($H8&lt;&gt;"",$H8,$E8)*INDEX(Summary!$C$6:$C$8,MATCH($P8,Summary!$B$6:$B$8,0)),0)</f>
        <v>215</v>
      </c>
      <c r="W8" s="18" t="s">
        <v>118</v>
      </c>
      <c r="X8" s="24"/>
    </row>
    <row r="9" customFormat="false" ht="30" hidden="false" customHeight="true" outlineLevel="0" collapsed="false">
      <c r="A9" s="18" t="s">
        <v>124</v>
      </c>
      <c r="B9" s="19" t="s">
        <v>125</v>
      </c>
      <c r="C9" s="20" t="n">
        <v>1</v>
      </c>
      <c r="D9" s="21" t="n">
        <v>140</v>
      </c>
      <c r="E9" s="21" t="n">
        <v>425</v>
      </c>
      <c r="F9" s="20" t="s">
        <v>101</v>
      </c>
      <c r="G9" s="20" t="s">
        <v>101</v>
      </c>
      <c r="H9" s="22"/>
      <c r="I9" s="23" t="n">
        <f aca="false">IF(AND($K9="Y",$F9&lt;&gt;"Y",OR($T9="",$T9=Summary!$C$11)),$C9*IF($H9&lt;&gt;"",$H9,($D9+$E9)/2)*INDEX(Summary!$C$6:$C$8,MATCH($P9,Summary!$B$6:$B$8,0)),0)</f>
        <v>0</v>
      </c>
      <c r="J9" s="20" t="s">
        <v>126</v>
      </c>
      <c r="K9" s="20" t="s">
        <v>101</v>
      </c>
      <c r="L9" s="24" t="s">
        <v>22</v>
      </c>
      <c r="M9" s="24" t="s">
        <v>121</v>
      </c>
      <c r="N9" s="19" t="s">
        <v>127</v>
      </c>
      <c r="O9" s="18" t="s">
        <v>106</v>
      </c>
      <c r="P9" s="20" t="s">
        <v>6</v>
      </c>
      <c r="Q9" s="18" t="s">
        <v>44</v>
      </c>
      <c r="R9" s="24" t="s">
        <v>123</v>
      </c>
      <c r="S9" s="18" t="s">
        <v>38</v>
      </c>
      <c r="T9" s="18"/>
      <c r="U9" s="25" t="n">
        <f aca="false">IF(AND($K9="Y",$F9&lt;&gt;"Y",OR($T9="",$T9=Summary!$C$11)),$C9*IF($H9&lt;&gt;"",$H9,$D9)*INDEX(Summary!$C$6:$C$8,MATCH($P9,Summary!$B$6:$B$8,0)),0)</f>
        <v>0</v>
      </c>
      <c r="V9" s="25" t="n">
        <f aca="false">IF(AND($K9="Y",$F9&lt;&gt;"Y",OR($T9="",$T9=Summary!$C$11)),$C9*IF($H9&lt;&gt;"",$H9,$E9)*INDEX(Summary!$C$6:$C$8,MATCH($P9,Summary!$B$6:$B$8,0)),0)</f>
        <v>0</v>
      </c>
      <c r="W9" s="18" t="s">
        <v>118</v>
      </c>
      <c r="X9" s="24"/>
    </row>
    <row r="10" customFormat="false" ht="30" hidden="false" customHeight="true" outlineLevel="0" collapsed="false">
      <c r="A10" s="18" t="s">
        <v>128</v>
      </c>
      <c r="B10" s="19" t="s">
        <v>129</v>
      </c>
      <c r="C10" s="20" t="n">
        <v>1</v>
      </c>
      <c r="D10" s="21" t="n">
        <v>30</v>
      </c>
      <c r="E10" s="21" t="n">
        <v>65</v>
      </c>
      <c r="F10" s="20" t="s">
        <v>101</v>
      </c>
      <c r="G10" s="20" t="s">
        <v>101</v>
      </c>
      <c r="H10" s="22"/>
      <c r="I10" s="23" t="n">
        <f aca="false">IF(AND($K10="Y",$F10&lt;&gt;"Y",OR($T10="",$T10=Summary!$C$11)),$C10*IF($H10&lt;&gt;"",$H10,($D10+$E10)/2)*INDEX(Summary!$C$6:$C$8,MATCH($P10,Summary!$B$6:$B$8,0)),0)</f>
        <v>47.5</v>
      </c>
      <c r="J10" s="20" t="s">
        <v>102</v>
      </c>
      <c r="K10" s="20" t="s">
        <v>103</v>
      </c>
      <c r="L10" s="24" t="s">
        <v>23</v>
      </c>
      <c r="M10" s="24" t="s">
        <v>130</v>
      </c>
      <c r="N10" s="19" t="s">
        <v>131</v>
      </c>
      <c r="O10" s="18" t="s">
        <v>106</v>
      </c>
      <c r="P10" s="20" t="s">
        <v>6</v>
      </c>
      <c r="Q10" s="18" t="s">
        <v>44</v>
      </c>
      <c r="R10" s="24" t="s">
        <v>132</v>
      </c>
      <c r="S10" s="18" t="s">
        <v>40</v>
      </c>
      <c r="T10" s="18"/>
      <c r="U10" s="25" t="n">
        <f aca="false">IF(AND($K10="Y",$F10&lt;&gt;"Y",OR($T10="",$T10=Summary!$C$11)),$C10*IF($H10&lt;&gt;"",$H10,$D10)*INDEX(Summary!$C$6:$C$8,MATCH($P10,Summary!$B$6:$B$8,0)),0)</f>
        <v>30</v>
      </c>
      <c r="V10" s="25" t="n">
        <f aca="false">IF(AND($K10="Y",$F10&lt;&gt;"Y",OR($T10="",$T10=Summary!$C$11)),$C10*IF($H10&lt;&gt;"",$H10,$E10)*INDEX(Summary!$C$6:$C$8,MATCH($P10,Summary!$B$6:$B$8,0)),0)</f>
        <v>65</v>
      </c>
      <c r="W10" s="18" t="s">
        <v>118</v>
      </c>
      <c r="X10" s="24"/>
    </row>
    <row r="11" customFormat="false" ht="30" hidden="false" customHeight="true" outlineLevel="0" collapsed="false">
      <c r="A11" s="18" t="s">
        <v>133</v>
      </c>
      <c r="B11" s="19" t="s">
        <v>134</v>
      </c>
      <c r="C11" s="20" t="n">
        <v>1</v>
      </c>
      <c r="D11" s="21" t="n">
        <v>14</v>
      </c>
      <c r="E11" s="21" t="n">
        <v>35</v>
      </c>
      <c r="F11" s="20" t="s">
        <v>101</v>
      </c>
      <c r="G11" s="20" t="s">
        <v>101</v>
      </c>
      <c r="H11" s="22"/>
      <c r="I11" s="23" t="n">
        <f aca="false">IF(AND($K11="Y",$F11&lt;&gt;"Y",OR($T11="",$T11=Summary!$C$11)),$C11*IF($H11&lt;&gt;"",$H11,($D11+$E11)/2)*INDEX(Summary!$C$6:$C$8,MATCH($P11,Summary!$B$6:$B$8,0)),0)</f>
        <v>24.5</v>
      </c>
      <c r="J11" s="20" t="s">
        <v>102</v>
      </c>
      <c r="K11" s="20" t="s">
        <v>103</v>
      </c>
      <c r="L11" s="24" t="s">
        <v>23</v>
      </c>
      <c r="M11" s="24" t="s">
        <v>130</v>
      </c>
      <c r="N11" s="19"/>
      <c r="O11" s="18" t="s">
        <v>106</v>
      </c>
      <c r="P11" s="20" t="s">
        <v>6</v>
      </c>
      <c r="Q11" s="18" t="s">
        <v>44</v>
      </c>
      <c r="R11" s="24" t="s">
        <v>132</v>
      </c>
      <c r="S11" s="18" t="s">
        <v>40</v>
      </c>
      <c r="T11" s="18"/>
      <c r="U11" s="25" t="n">
        <f aca="false">IF(AND($K11="Y",$F11&lt;&gt;"Y",OR($T11="",$T11=Summary!$C$11)),$C11*IF($H11&lt;&gt;"",$H11,$D11)*INDEX(Summary!$C$6:$C$8,MATCH($P11,Summary!$B$6:$B$8,0)),0)</f>
        <v>14</v>
      </c>
      <c r="V11" s="25" t="n">
        <f aca="false">IF(AND($K11="Y",$F11&lt;&gt;"Y",OR($T11="",$T11=Summary!$C$11)),$C11*IF($H11&lt;&gt;"",$H11,$E11)*INDEX(Summary!$C$6:$C$8,MATCH($P11,Summary!$B$6:$B$8,0)),0)</f>
        <v>35</v>
      </c>
      <c r="W11" s="18" t="s">
        <v>118</v>
      </c>
      <c r="X11" s="24"/>
    </row>
    <row r="12" customFormat="false" ht="30" hidden="false" customHeight="true" outlineLevel="0" collapsed="false">
      <c r="A12" s="18" t="s">
        <v>135</v>
      </c>
      <c r="B12" s="19" t="s">
        <v>136</v>
      </c>
      <c r="C12" s="20" t="n">
        <v>1</v>
      </c>
      <c r="D12" s="21" t="n">
        <v>35</v>
      </c>
      <c r="E12" s="21" t="n">
        <v>70</v>
      </c>
      <c r="F12" s="20" t="s">
        <v>101</v>
      </c>
      <c r="G12" s="20" t="s">
        <v>101</v>
      </c>
      <c r="H12" s="22"/>
      <c r="I12" s="23" t="n">
        <f aca="false">IF(AND($K12="Y",$F12&lt;&gt;"Y",OR($T12="",$T12=Summary!$C$11)),$C12*IF($H12&lt;&gt;"",$H12,($D12+$E12)/2)*INDEX(Summary!$C$6:$C$8,MATCH($P12,Summary!$B$6:$B$8,0)),0)</f>
        <v>52.5</v>
      </c>
      <c r="J12" s="20" t="s">
        <v>102</v>
      </c>
      <c r="K12" s="20" t="s">
        <v>103</v>
      </c>
      <c r="L12" s="24" t="s">
        <v>23</v>
      </c>
      <c r="M12" s="24" t="s">
        <v>130</v>
      </c>
      <c r="N12" s="19"/>
      <c r="O12" s="18" t="s">
        <v>106</v>
      </c>
      <c r="P12" s="20" t="s">
        <v>6</v>
      </c>
      <c r="Q12" s="18" t="s">
        <v>44</v>
      </c>
      <c r="R12" s="24" t="s">
        <v>132</v>
      </c>
      <c r="S12" s="18" t="s">
        <v>40</v>
      </c>
      <c r="T12" s="18"/>
      <c r="U12" s="25" t="n">
        <f aca="false">IF(AND($K12="Y",$F12&lt;&gt;"Y",OR($T12="",$T12=Summary!$C$11)),$C12*IF($H12&lt;&gt;"",$H12,$D12)*INDEX(Summary!$C$6:$C$8,MATCH($P12,Summary!$B$6:$B$8,0)),0)</f>
        <v>35</v>
      </c>
      <c r="V12" s="25" t="n">
        <f aca="false">IF(AND($K12="Y",$F12&lt;&gt;"Y",OR($T12="",$T12=Summary!$C$11)),$C12*IF($H12&lt;&gt;"",$H12,$E12)*INDEX(Summary!$C$6:$C$8,MATCH($P12,Summary!$B$6:$B$8,0)),0)</f>
        <v>70</v>
      </c>
      <c r="W12" s="18" t="s">
        <v>118</v>
      </c>
      <c r="X12" s="24"/>
    </row>
    <row r="13" customFormat="false" ht="30" hidden="false" customHeight="true" outlineLevel="0" collapsed="false">
      <c r="A13" s="18" t="s">
        <v>137</v>
      </c>
      <c r="B13" s="19" t="s">
        <v>138</v>
      </c>
      <c r="C13" s="20" t="n">
        <v>1</v>
      </c>
      <c r="D13" s="21" t="n">
        <v>20</v>
      </c>
      <c r="E13" s="21" t="n">
        <v>55</v>
      </c>
      <c r="F13" s="20" t="s">
        <v>101</v>
      </c>
      <c r="G13" s="20" t="s">
        <v>101</v>
      </c>
      <c r="H13" s="22"/>
      <c r="I13" s="23" t="n">
        <f aca="false">IF(AND($K13="Y",$F13&lt;&gt;"Y",OR($T13="",$T13=Summary!$C$11)),$C13*IF($H13&lt;&gt;"",$H13,($D13+$E13)/2)*INDEX(Summary!$C$6:$C$8,MATCH($P13,Summary!$B$6:$B$8,0)),0)</f>
        <v>37.5</v>
      </c>
      <c r="J13" s="20" t="s">
        <v>102</v>
      </c>
      <c r="K13" s="20" t="s">
        <v>103</v>
      </c>
      <c r="L13" s="24" t="s">
        <v>23</v>
      </c>
      <c r="M13" s="24" t="s">
        <v>130</v>
      </c>
      <c r="N13" s="19" t="s">
        <v>139</v>
      </c>
      <c r="O13" s="18" t="s">
        <v>140</v>
      </c>
      <c r="P13" s="20" t="s">
        <v>6</v>
      </c>
      <c r="Q13" s="18" t="s">
        <v>44</v>
      </c>
      <c r="R13" s="24" t="s">
        <v>132</v>
      </c>
      <c r="S13" s="18" t="s">
        <v>40</v>
      </c>
      <c r="T13" s="18"/>
      <c r="U13" s="25" t="n">
        <f aca="false">IF(AND($K13="Y",$F13&lt;&gt;"Y",OR($T13="",$T13=Summary!$C$11)),$C13*IF($H13&lt;&gt;"",$H13,$D13)*INDEX(Summary!$C$6:$C$8,MATCH($P13,Summary!$B$6:$B$8,0)),0)</f>
        <v>20</v>
      </c>
      <c r="V13" s="25" t="n">
        <f aca="false">IF(AND($K13="Y",$F13&lt;&gt;"Y",OR($T13="",$T13=Summary!$C$11)),$C13*IF($H13&lt;&gt;"",$H13,$E13)*INDEX(Summary!$C$6:$C$8,MATCH($P13,Summary!$B$6:$B$8,0)),0)</f>
        <v>55</v>
      </c>
      <c r="W13" s="18" t="s">
        <v>118</v>
      </c>
      <c r="X13" s="24"/>
    </row>
    <row r="14" customFormat="false" ht="30" hidden="false" customHeight="true" outlineLevel="0" collapsed="false">
      <c r="A14" s="18" t="s">
        <v>141</v>
      </c>
      <c r="B14" s="19" t="s">
        <v>142</v>
      </c>
      <c r="C14" s="20" t="n">
        <v>1</v>
      </c>
      <c r="D14" s="21" t="n">
        <v>14</v>
      </c>
      <c r="E14" s="21" t="n">
        <v>35</v>
      </c>
      <c r="F14" s="20" t="s">
        <v>101</v>
      </c>
      <c r="G14" s="20" t="s">
        <v>101</v>
      </c>
      <c r="H14" s="22"/>
      <c r="I14" s="23" t="n">
        <f aca="false">IF(AND($K14="Y",$F14&lt;&gt;"Y",OR($T14="",$T14=Summary!$C$11)),$C14*IF($H14&lt;&gt;"",$H14,($D14+$E14)/2)*INDEX(Summary!$C$6:$C$8,MATCH($P14,Summary!$B$6:$B$8,0)),0)</f>
        <v>24.5</v>
      </c>
      <c r="J14" s="20" t="s">
        <v>102</v>
      </c>
      <c r="K14" s="20" t="s">
        <v>103</v>
      </c>
      <c r="L14" s="24" t="s">
        <v>23</v>
      </c>
      <c r="M14" s="24" t="s">
        <v>130</v>
      </c>
      <c r="N14" s="19"/>
      <c r="O14" s="18" t="s">
        <v>140</v>
      </c>
      <c r="P14" s="20" t="s">
        <v>6</v>
      </c>
      <c r="Q14" s="18" t="s">
        <v>44</v>
      </c>
      <c r="R14" s="24" t="s">
        <v>132</v>
      </c>
      <c r="S14" s="18" t="s">
        <v>40</v>
      </c>
      <c r="T14" s="18"/>
      <c r="U14" s="25" t="n">
        <f aca="false">IF(AND($K14="Y",$F14&lt;&gt;"Y",OR($T14="",$T14=Summary!$C$11)),$C14*IF($H14&lt;&gt;"",$H14,$D14)*INDEX(Summary!$C$6:$C$8,MATCH($P14,Summary!$B$6:$B$8,0)),0)</f>
        <v>14</v>
      </c>
      <c r="V14" s="25" t="n">
        <f aca="false">IF(AND($K14="Y",$F14&lt;&gt;"Y",OR($T14="",$T14=Summary!$C$11)),$C14*IF($H14&lt;&gt;"",$H14,$E14)*INDEX(Summary!$C$6:$C$8,MATCH($P14,Summary!$B$6:$B$8,0)),0)</f>
        <v>35</v>
      </c>
      <c r="W14" s="18" t="s">
        <v>118</v>
      </c>
      <c r="X14" s="24"/>
    </row>
    <row r="15" customFormat="false" ht="30" hidden="false" customHeight="true" outlineLevel="0" collapsed="false">
      <c r="A15" s="18" t="s">
        <v>143</v>
      </c>
      <c r="B15" s="19" t="s">
        <v>144</v>
      </c>
      <c r="C15" s="20" t="n">
        <v>1</v>
      </c>
      <c r="D15" s="21" t="n">
        <v>20</v>
      </c>
      <c r="E15" s="21" t="n">
        <v>50</v>
      </c>
      <c r="F15" s="20" t="s">
        <v>101</v>
      </c>
      <c r="G15" s="20" t="s">
        <v>101</v>
      </c>
      <c r="H15" s="22"/>
      <c r="I15" s="23" t="n">
        <f aca="false">IF(AND($K15="Y",$F15&lt;&gt;"Y",OR($T15="",$T15=Summary!$C$11)),$C15*IF($H15&lt;&gt;"",$H15,($D15+$E15)/2)*INDEX(Summary!$C$6:$C$8,MATCH($P15,Summary!$B$6:$B$8,0)),0)</f>
        <v>35</v>
      </c>
      <c r="J15" s="20" t="s">
        <v>102</v>
      </c>
      <c r="K15" s="20" t="s">
        <v>103</v>
      </c>
      <c r="L15" s="24" t="s">
        <v>23</v>
      </c>
      <c r="M15" s="24" t="s">
        <v>130</v>
      </c>
      <c r="N15" s="19"/>
      <c r="O15" s="18" t="s">
        <v>140</v>
      </c>
      <c r="P15" s="20" t="s">
        <v>6</v>
      </c>
      <c r="Q15" s="18" t="s">
        <v>44</v>
      </c>
      <c r="R15" s="24" t="s">
        <v>132</v>
      </c>
      <c r="S15" s="18" t="s">
        <v>40</v>
      </c>
      <c r="T15" s="18"/>
      <c r="U15" s="25" t="n">
        <f aca="false">IF(AND($K15="Y",$F15&lt;&gt;"Y",OR($T15="",$T15=Summary!$C$11)),$C15*IF($H15&lt;&gt;"",$H15,$D15)*INDEX(Summary!$C$6:$C$8,MATCH($P15,Summary!$B$6:$B$8,0)),0)</f>
        <v>20</v>
      </c>
      <c r="V15" s="25" t="n">
        <f aca="false">IF(AND($K15="Y",$F15&lt;&gt;"Y",OR($T15="",$T15=Summary!$C$11)),$C15*IF($H15&lt;&gt;"",$H15,$E15)*INDEX(Summary!$C$6:$C$8,MATCH($P15,Summary!$B$6:$B$8,0)),0)</f>
        <v>50</v>
      </c>
      <c r="W15" s="18" t="s">
        <v>118</v>
      </c>
      <c r="X15" s="24"/>
    </row>
    <row r="16" customFormat="false" ht="30" hidden="false" customHeight="true" outlineLevel="0" collapsed="false">
      <c r="A16" s="18" t="s">
        <v>145</v>
      </c>
      <c r="B16" s="19" t="s">
        <v>146</v>
      </c>
      <c r="C16" s="20" t="n">
        <v>1</v>
      </c>
      <c r="D16" s="21" t="n">
        <v>14</v>
      </c>
      <c r="E16" s="21" t="n">
        <v>35</v>
      </c>
      <c r="F16" s="20" t="s">
        <v>101</v>
      </c>
      <c r="G16" s="20" t="s">
        <v>101</v>
      </c>
      <c r="H16" s="22"/>
      <c r="I16" s="23" t="n">
        <f aca="false">IF(AND($K16="Y",$F16&lt;&gt;"Y",OR($T16="",$T16=Summary!$C$11)),$C16*IF($H16&lt;&gt;"",$H16,($D16+$E16)/2)*INDEX(Summary!$C$6:$C$8,MATCH($P16,Summary!$B$6:$B$8,0)),0)</f>
        <v>24.5</v>
      </c>
      <c r="J16" s="20" t="s">
        <v>102</v>
      </c>
      <c r="K16" s="20" t="s">
        <v>103</v>
      </c>
      <c r="L16" s="24" t="s">
        <v>23</v>
      </c>
      <c r="M16" s="24" t="s">
        <v>130</v>
      </c>
      <c r="N16" s="19"/>
      <c r="O16" s="18" t="s">
        <v>106</v>
      </c>
      <c r="P16" s="20" t="s">
        <v>6</v>
      </c>
      <c r="Q16" s="18" t="s">
        <v>44</v>
      </c>
      <c r="R16" s="24" t="s">
        <v>132</v>
      </c>
      <c r="S16" s="18" t="s">
        <v>41</v>
      </c>
      <c r="T16" s="18"/>
      <c r="U16" s="25" t="n">
        <f aca="false">IF(AND($K16="Y",$F16&lt;&gt;"Y",OR($T16="",$T16=Summary!$C$11)),$C16*IF($H16&lt;&gt;"",$H16,$D16)*INDEX(Summary!$C$6:$C$8,MATCH($P16,Summary!$B$6:$B$8,0)),0)</f>
        <v>14</v>
      </c>
      <c r="V16" s="25" t="n">
        <f aca="false">IF(AND($K16="Y",$F16&lt;&gt;"Y",OR($T16="",$T16=Summary!$C$11)),$C16*IF($H16&lt;&gt;"",$H16,$E16)*INDEX(Summary!$C$6:$C$8,MATCH($P16,Summary!$B$6:$B$8,0)),0)</f>
        <v>35</v>
      </c>
      <c r="W16" s="18" t="s">
        <v>118</v>
      </c>
      <c r="X16" s="24"/>
    </row>
    <row r="17" customFormat="false" ht="30" hidden="false" customHeight="true" outlineLevel="0" collapsed="false">
      <c r="A17" s="18" t="s">
        <v>147</v>
      </c>
      <c r="B17" s="19" t="s">
        <v>148</v>
      </c>
      <c r="C17" s="20" t="n">
        <v>2</v>
      </c>
      <c r="D17" s="21" t="n">
        <v>17</v>
      </c>
      <c r="E17" s="21" t="n">
        <v>35</v>
      </c>
      <c r="F17" s="20" t="s">
        <v>101</v>
      </c>
      <c r="G17" s="20" t="s">
        <v>101</v>
      </c>
      <c r="H17" s="22"/>
      <c r="I17" s="23" t="n">
        <f aca="false">IF(AND($K17="Y",$F17&lt;&gt;"Y",OR($T17="",$T17=Summary!$C$11)),$C17*IF($H17&lt;&gt;"",$H17,($D17+$E17)/2)*INDEX(Summary!$C$6:$C$8,MATCH($P17,Summary!$B$6:$B$8,0)),0)</f>
        <v>52</v>
      </c>
      <c r="J17" s="20" t="s">
        <v>102</v>
      </c>
      <c r="K17" s="20" t="s">
        <v>103</v>
      </c>
      <c r="L17" s="24" t="s">
        <v>23</v>
      </c>
      <c r="M17" s="24" t="s">
        <v>130</v>
      </c>
      <c r="N17" s="19" t="s">
        <v>149</v>
      </c>
      <c r="O17" s="18" t="s">
        <v>106</v>
      </c>
      <c r="P17" s="20" t="s">
        <v>6</v>
      </c>
      <c r="Q17" s="18" t="s">
        <v>44</v>
      </c>
      <c r="R17" s="24" t="s">
        <v>150</v>
      </c>
      <c r="S17" s="18" t="s">
        <v>40</v>
      </c>
      <c r="T17" s="18"/>
      <c r="U17" s="25" t="n">
        <f aca="false">IF(AND($K17="Y",$F17&lt;&gt;"Y",OR($T17="",$T17=Summary!$C$11)),$C17*IF($H17&lt;&gt;"",$H17,$D17)*INDEX(Summary!$C$6:$C$8,MATCH($P17,Summary!$B$6:$B$8,0)),0)</f>
        <v>34</v>
      </c>
      <c r="V17" s="25" t="n">
        <f aca="false">IF(AND($K17="Y",$F17&lt;&gt;"Y",OR($T17="",$T17=Summary!$C$11)),$C17*IF($H17&lt;&gt;"",$H17,$E17)*INDEX(Summary!$C$6:$C$8,MATCH($P17,Summary!$B$6:$B$8,0)),0)</f>
        <v>70</v>
      </c>
      <c r="W17" s="18" t="s">
        <v>118</v>
      </c>
      <c r="X17" s="24"/>
    </row>
    <row r="18" customFormat="false" ht="30" hidden="false" customHeight="true" outlineLevel="0" collapsed="false">
      <c r="A18" s="18" t="s">
        <v>151</v>
      </c>
      <c r="B18" s="19" t="s">
        <v>152</v>
      </c>
      <c r="C18" s="20" t="n">
        <v>1</v>
      </c>
      <c r="D18" s="21" t="n">
        <v>85</v>
      </c>
      <c r="E18" s="21" t="n">
        <v>170</v>
      </c>
      <c r="F18" s="20" t="s">
        <v>101</v>
      </c>
      <c r="G18" s="20" t="s">
        <v>101</v>
      </c>
      <c r="H18" s="22"/>
      <c r="I18" s="23" t="n">
        <f aca="false">IF(AND($K18="Y",$F18&lt;&gt;"Y",OR($T18="",$T18=Summary!$C$11)),$C18*IF($H18&lt;&gt;"",$H18,($D18+$E18)/2)*INDEX(Summary!$C$6:$C$8,MATCH($P18,Summary!$B$6:$B$8,0)),0)</f>
        <v>127.5</v>
      </c>
      <c r="J18" s="20" t="s">
        <v>102</v>
      </c>
      <c r="K18" s="20" t="s">
        <v>103</v>
      </c>
      <c r="L18" s="24" t="s">
        <v>23</v>
      </c>
      <c r="M18" s="24" t="s">
        <v>32</v>
      </c>
      <c r="N18" s="19"/>
      <c r="O18" s="18" t="s">
        <v>106</v>
      </c>
      <c r="P18" s="20" t="s">
        <v>6</v>
      </c>
      <c r="Q18" s="18" t="s">
        <v>44</v>
      </c>
      <c r="R18" s="24" t="s">
        <v>132</v>
      </c>
      <c r="S18" s="18" t="s">
        <v>40</v>
      </c>
      <c r="T18" s="18"/>
      <c r="U18" s="25" t="n">
        <f aca="false">IF(AND($K18="Y",$F18&lt;&gt;"Y",OR($T18="",$T18=Summary!$C$11)),$C18*IF($H18&lt;&gt;"",$H18,$D18)*INDEX(Summary!$C$6:$C$8,MATCH($P18,Summary!$B$6:$B$8,0)),0)</f>
        <v>85</v>
      </c>
      <c r="V18" s="25" t="n">
        <f aca="false">IF(AND($K18="Y",$F18&lt;&gt;"Y",OR($T18="",$T18=Summary!$C$11)),$C18*IF($H18&lt;&gt;"",$H18,$E18)*INDEX(Summary!$C$6:$C$8,MATCH($P18,Summary!$B$6:$B$8,0)),0)</f>
        <v>170</v>
      </c>
      <c r="W18" s="18" t="s">
        <v>118</v>
      </c>
      <c r="X18" s="24"/>
    </row>
    <row r="19" customFormat="false" ht="30" hidden="false" customHeight="true" outlineLevel="0" collapsed="false">
      <c r="A19" s="18" t="s">
        <v>153</v>
      </c>
      <c r="B19" s="19" t="s">
        <v>154</v>
      </c>
      <c r="C19" s="20" t="n">
        <v>1</v>
      </c>
      <c r="D19" s="21" t="n">
        <v>30</v>
      </c>
      <c r="E19" s="21" t="n">
        <v>65</v>
      </c>
      <c r="F19" s="20" t="s">
        <v>101</v>
      </c>
      <c r="G19" s="20" t="s">
        <v>101</v>
      </c>
      <c r="H19" s="22"/>
      <c r="I19" s="23" t="n">
        <f aca="false">IF(AND($K19="Y",$F19&lt;&gt;"Y",OR($T19="",$T19=Summary!$C$11)),$C19*IF($H19&lt;&gt;"",$H19,($D19+$E19)/2)*INDEX(Summary!$C$6:$C$8,MATCH($P19,Summary!$B$6:$B$8,0)),0)</f>
        <v>47.5</v>
      </c>
      <c r="J19" s="20" t="s">
        <v>102</v>
      </c>
      <c r="K19" s="20" t="s">
        <v>103</v>
      </c>
      <c r="L19" s="24" t="s">
        <v>23</v>
      </c>
      <c r="M19" s="24" t="s">
        <v>32</v>
      </c>
      <c r="N19" s="19"/>
      <c r="O19" s="18" t="s">
        <v>106</v>
      </c>
      <c r="P19" s="20" t="s">
        <v>6</v>
      </c>
      <c r="Q19" s="18" t="s">
        <v>44</v>
      </c>
      <c r="R19" s="24" t="s">
        <v>132</v>
      </c>
      <c r="S19" s="18" t="s">
        <v>40</v>
      </c>
      <c r="T19" s="18"/>
      <c r="U19" s="25" t="n">
        <f aca="false">IF(AND($K19="Y",$F19&lt;&gt;"Y",OR($T19="",$T19=Summary!$C$11)),$C19*IF($H19&lt;&gt;"",$H19,$D19)*INDEX(Summary!$C$6:$C$8,MATCH($P19,Summary!$B$6:$B$8,0)),0)</f>
        <v>30</v>
      </c>
      <c r="V19" s="25" t="n">
        <f aca="false">IF(AND($K19="Y",$F19&lt;&gt;"Y",OR($T19="",$T19=Summary!$C$11)),$C19*IF($H19&lt;&gt;"",$H19,$E19)*INDEX(Summary!$C$6:$C$8,MATCH($P19,Summary!$B$6:$B$8,0)),0)</f>
        <v>65</v>
      </c>
      <c r="W19" s="18" t="s">
        <v>118</v>
      </c>
      <c r="X19" s="24"/>
    </row>
    <row r="20" customFormat="false" ht="30" hidden="false" customHeight="true" outlineLevel="0" collapsed="false">
      <c r="A20" s="18" t="s">
        <v>155</v>
      </c>
      <c r="B20" s="19" t="s">
        <v>156</v>
      </c>
      <c r="C20" s="20" t="n">
        <v>1</v>
      </c>
      <c r="D20" s="21" t="n">
        <v>0</v>
      </c>
      <c r="E20" s="21" t="n">
        <v>570</v>
      </c>
      <c r="F20" s="20" t="s">
        <v>101</v>
      </c>
      <c r="G20" s="20" t="s">
        <v>101</v>
      </c>
      <c r="H20" s="22"/>
      <c r="I20" s="23" t="n">
        <f aca="false">IF(AND($K20="Y",$F20&lt;&gt;"Y",OR($T20="",$T20=Summary!$C$11)),$C20*IF($H20&lt;&gt;"",$H20,($D20+$E20)/2)*INDEX(Summary!$C$6:$C$8,MATCH($P20,Summary!$B$6:$B$8,0)),0)</f>
        <v>285</v>
      </c>
      <c r="J20" s="20" t="s">
        <v>157</v>
      </c>
      <c r="K20" s="20" t="s">
        <v>103</v>
      </c>
      <c r="L20" s="24" t="s">
        <v>23</v>
      </c>
      <c r="M20" s="24" t="s">
        <v>158</v>
      </c>
      <c r="N20" s="19" t="s">
        <v>159</v>
      </c>
      <c r="O20" s="18" t="s">
        <v>160</v>
      </c>
      <c r="P20" s="20" t="s">
        <v>6</v>
      </c>
      <c r="Q20" s="18" t="s">
        <v>44</v>
      </c>
      <c r="R20" s="24" t="s">
        <v>132</v>
      </c>
      <c r="S20" s="18" t="s">
        <v>40</v>
      </c>
      <c r="T20" s="18"/>
      <c r="U20" s="25" t="n">
        <f aca="false">IF(AND($K20="Y",$F20&lt;&gt;"Y",OR($T20="",$T20=Summary!$C$11)),$C20*IF($H20&lt;&gt;"",$H20,$D20)*INDEX(Summary!$C$6:$C$8,MATCH($P20,Summary!$B$6:$B$8,0)),0)</f>
        <v>0</v>
      </c>
      <c r="V20" s="25" t="n">
        <f aca="false">IF(AND($K20="Y",$F20&lt;&gt;"Y",OR($T20="",$T20=Summary!$C$11)),$C20*IF($H20&lt;&gt;"",$H20,$E20)*INDEX(Summary!$C$6:$C$8,MATCH($P20,Summary!$B$6:$B$8,0)),0)</f>
        <v>570</v>
      </c>
      <c r="W20" s="18" t="s">
        <v>118</v>
      </c>
      <c r="X20" s="24"/>
    </row>
    <row r="21" customFormat="false" ht="30" hidden="false" customHeight="true" outlineLevel="0" collapsed="false">
      <c r="A21" s="18" t="s">
        <v>161</v>
      </c>
      <c r="B21" s="19" t="s">
        <v>162</v>
      </c>
      <c r="C21" s="20" t="n">
        <v>1</v>
      </c>
      <c r="D21" s="21" t="n">
        <v>14</v>
      </c>
      <c r="E21" s="21" t="n">
        <v>45</v>
      </c>
      <c r="F21" s="20" t="s">
        <v>101</v>
      </c>
      <c r="G21" s="20" t="s">
        <v>101</v>
      </c>
      <c r="H21" s="22"/>
      <c r="I21" s="23" t="n">
        <f aca="false">IF(AND($K21="Y",$F21&lt;&gt;"Y",OR($T21="",$T21=Summary!$C$11)),$C21*IF($H21&lt;&gt;"",$H21,($D21+$E21)/2)*INDEX(Summary!$C$6:$C$8,MATCH($P21,Summary!$B$6:$B$8,0)),0)</f>
        <v>29.5</v>
      </c>
      <c r="J21" s="20" t="s">
        <v>102</v>
      </c>
      <c r="K21" s="20" t="s">
        <v>103</v>
      </c>
      <c r="L21" s="24" t="s">
        <v>23</v>
      </c>
      <c r="M21" s="24" t="s">
        <v>158</v>
      </c>
      <c r="N21" s="19"/>
      <c r="O21" s="18" t="s">
        <v>140</v>
      </c>
      <c r="P21" s="20" t="s">
        <v>6</v>
      </c>
      <c r="Q21" s="18" t="s">
        <v>44</v>
      </c>
      <c r="R21" s="24" t="s">
        <v>132</v>
      </c>
      <c r="S21" s="18" t="s">
        <v>40</v>
      </c>
      <c r="T21" s="18"/>
      <c r="U21" s="25" t="n">
        <f aca="false">IF(AND($K21="Y",$F21&lt;&gt;"Y",OR($T21="",$T21=Summary!$C$11)),$C21*IF($H21&lt;&gt;"",$H21,$D21)*INDEX(Summary!$C$6:$C$8,MATCH($P21,Summary!$B$6:$B$8,0)),0)</f>
        <v>14</v>
      </c>
      <c r="V21" s="25" t="n">
        <f aca="false">IF(AND($K21="Y",$F21&lt;&gt;"Y",OR($T21="",$T21=Summary!$C$11)),$C21*IF($H21&lt;&gt;"",$H21,$E21)*INDEX(Summary!$C$6:$C$8,MATCH($P21,Summary!$B$6:$B$8,0)),0)</f>
        <v>45</v>
      </c>
      <c r="W21" s="18" t="s">
        <v>118</v>
      </c>
      <c r="X21" s="24"/>
    </row>
    <row r="22" customFormat="false" ht="30" hidden="false" customHeight="true" outlineLevel="0" collapsed="false">
      <c r="A22" s="18" t="s">
        <v>163</v>
      </c>
      <c r="B22" s="19" t="s">
        <v>164</v>
      </c>
      <c r="C22" s="20" t="n">
        <v>2</v>
      </c>
      <c r="D22" s="21" t="n">
        <v>11</v>
      </c>
      <c r="E22" s="21" t="n">
        <v>20</v>
      </c>
      <c r="F22" s="20" t="s">
        <v>101</v>
      </c>
      <c r="G22" s="20" t="s">
        <v>101</v>
      </c>
      <c r="H22" s="22"/>
      <c r="I22" s="23" t="n">
        <f aca="false">IF(AND($K22="Y",$F22&lt;&gt;"Y",OR($T22="",$T22=Summary!$C$11)),$C22*IF($H22&lt;&gt;"",$H22,($D22+$E22)/2)*INDEX(Summary!$C$6:$C$8,MATCH($P22,Summary!$B$6:$B$8,0)),0)</f>
        <v>31</v>
      </c>
      <c r="J22" s="20" t="s">
        <v>102</v>
      </c>
      <c r="K22" s="20" t="s">
        <v>103</v>
      </c>
      <c r="L22" s="24" t="s">
        <v>23</v>
      </c>
      <c r="M22" s="24" t="s">
        <v>165</v>
      </c>
      <c r="N22" s="19" t="s">
        <v>166</v>
      </c>
      <c r="O22" s="18" t="s">
        <v>106</v>
      </c>
      <c r="P22" s="20" t="s">
        <v>6</v>
      </c>
      <c r="Q22" s="18" t="s">
        <v>44</v>
      </c>
      <c r="R22" s="24" t="s">
        <v>150</v>
      </c>
      <c r="S22" s="18" t="s">
        <v>40</v>
      </c>
      <c r="T22" s="18"/>
      <c r="U22" s="25" t="n">
        <f aca="false">IF(AND($K22="Y",$F22&lt;&gt;"Y",OR($T22="",$T22=Summary!$C$11)),$C22*IF($H22&lt;&gt;"",$H22,$D22)*INDEX(Summary!$C$6:$C$8,MATCH($P22,Summary!$B$6:$B$8,0)),0)</f>
        <v>22</v>
      </c>
      <c r="V22" s="25" t="n">
        <f aca="false">IF(AND($K22="Y",$F22&lt;&gt;"Y",OR($T22="",$T22=Summary!$C$11)),$C22*IF($H22&lt;&gt;"",$H22,$E22)*INDEX(Summary!$C$6:$C$8,MATCH($P22,Summary!$B$6:$B$8,0)),0)</f>
        <v>40</v>
      </c>
      <c r="W22" s="18" t="s">
        <v>118</v>
      </c>
      <c r="X22" s="24"/>
    </row>
    <row r="23" customFormat="false" ht="30" hidden="false" customHeight="true" outlineLevel="0" collapsed="false">
      <c r="A23" s="18" t="s">
        <v>167</v>
      </c>
      <c r="B23" s="19" t="s">
        <v>168</v>
      </c>
      <c r="C23" s="20" t="n">
        <v>2</v>
      </c>
      <c r="D23" s="21" t="n">
        <v>50</v>
      </c>
      <c r="E23" s="21" t="n">
        <v>85</v>
      </c>
      <c r="F23" s="20" t="s">
        <v>101</v>
      </c>
      <c r="G23" s="20" t="s">
        <v>101</v>
      </c>
      <c r="H23" s="22"/>
      <c r="I23" s="23" t="n">
        <f aca="false">IF(AND($K23="Y",$F23&lt;&gt;"Y",OR($T23="",$T23=Summary!$C$11)),$C23*IF($H23&lt;&gt;"",$H23,($D23+$E23)/2)*INDEX(Summary!$C$6:$C$8,MATCH($P23,Summary!$B$6:$B$8,0)),0)</f>
        <v>135</v>
      </c>
      <c r="J23" s="20" t="s">
        <v>102</v>
      </c>
      <c r="K23" s="20" t="s">
        <v>103</v>
      </c>
      <c r="L23" s="24" t="s">
        <v>23</v>
      </c>
      <c r="M23" s="24" t="s">
        <v>165</v>
      </c>
      <c r="N23" s="19" t="s">
        <v>169</v>
      </c>
      <c r="O23" s="18" t="s">
        <v>170</v>
      </c>
      <c r="P23" s="20" t="s">
        <v>6</v>
      </c>
      <c r="Q23" s="18" t="s">
        <v>44</v>
      </c>
      <c r="R23" s="24" t="s">
        <v>150</v>
      </c>
      <c r="S23" s="18" t="s">
        <v>39</v>
      </c>
      <c r="T23" s="18"/>
      <c r="U23" s="25" t="n">
        <f aca="false">IF(AND($K23="Y",$F23&lt;&gt;"Y",OR($T23="",$T23=Summary!$C$11)),$C23*IF($H23&lt;&gt;"",$H23,$D23)*INDEX(Summary!$C$6:$C$8,MATCH($P23,Summary!$B$6:$B$8,0)),0)</f>
        <v>100</v>
      </c>
      <c r="V23" s="25" t="n">
        <f aca="false">IF(AND($K23="Y",$F23&lt;&gt;"Y",OR($T23="",$T23=Summary!$C$11)),$C23*IF($H23&lt;&gt;"",$H23,$E23)*INDEX(Summary!$C$6:$C$8,MATCH($P23,Summary!$B$6:$B$8,0)),0)</f>
        <v>170</v>
      </c>
      <c r="W23" s="18" t="s">
        <v>118</v>
      </c>
      <c r="X23" s="24"/>
    </row>
    <row r="24" customFormat="false" ht="30" hidden="false" customHeight="true" outlineLevel="0" collapsed="false">
      <c r="A24" s="18" t="s">
        <v>171</v>
      </c>
      <c r="B24" s="19" t="s">
        <v>172</v>
      </c>
      <c r="C24" s="20" t="n">
        <v>5</v>
      </c>
      <c r="D24" s="21" t="n">
        <v>9</v>
      </c>
      <c r="E24" s="21" t="n">
        <v>17</v>
      </c>
      <c r="F24" s="20" t="s">
        <v>101</v>
      </c>
      <c r="G24" s="20" t="s">
        <v>101</v>
      </c>
      <c r="H24" s="22"/>
      <c r="I24" s="23" t="n">
        <f aca="false">IF(AND($K24="Y",$F24&lt;&gt;"Y",OR($T24="",$T24=Summary!$C$11)),$C24*IF($H24&lt;&gt;"",$H24,($D24+$E24)/2)*INDEX(Summary!$C$6:$C$8,MATCH($P24,Summary!$B$6:$B$8,0)),0)</f>
        <v>65</v>
      </c>
      <c r="J24" s="20" t="s">
        <v>102</v>
      </c>
      <c r="K24" s="20" t="s">
        <v>103</v>
      </c>
      <c r="L24" s="24" t="s">
        <v>23</v>
      </c>
      <c r="M24" s="24" t="s">
        <v>165</v>
      </c>
      <c r="N24" s="19" t="s">
        <v>173</v>
      </c>
      <c r="O24" s="18" t="s">
        <v>106</v>
      </c>
      <c r="P24" s="20" t="s">
        <v>6</v>
      </c>
      <c r="Q24" s="18" t="s">
        <v>44</v>
      </c>
      <c r="R24" s="24" t="s">
        <v>150</v>
      </c>
      <c r="S24" s="18" t="s">
        <v>40</v>
      </c>
      <c r="T24" s="18"/>
      <c r="U24" s="25" t="n">
        <f aca="false">IF(AND($K24="Y",$F24&lt;&gt;"Y",OR($T24="",$T24=Summary!$C$11)),$C24*IF($H24&lt;&gt;"",$H24,$D24)*INDEX(Summary!$C$6:$C$8,MATCH($P24,Summary!$B$6:$B$8,0)),0)</f>
        <v>45</v>
      </c>
      <c r="V24" s="25" t="n">
        <f aca="false">IF(AND($K24="Y",$F24&lt;&gt;"Y",OR($T24="",$T24=Summary!$C$11)),$C24*IF($H24&lt;&gt;"",$H24,$E24)*INDEX(Summary!$C$6:$C$8,MATCH($P24,Summary!$B$6:$B$8,0)),0)</f>
        <v>85</v>
      </c>
      <c r="W24" s="18" t="s">
        <v>118</v>
      </c>
      <c r="X24" s="24"/>
    </row>
    <row r="25" customFormat="false" ht="30" hidden="false" customHeight="true" outlineLevel="0" collapsed="false">
      <c r="A25" s="18" t="s">
        <v>174</v>
      </c>
      <c r="B25" s="19" t="s">
        <v>175</v>
      </c>
      <c r="C25" s="20" t="n">
        <v>5</v>
      </c>
      <c r="D25" s="21" t="n">
        <v>30</v>
      </c>
      <c r="E25" s="21" t="n">
        <v>55</v>
      </c>
      <c r="F25" s="20" t="s">
        <v>101</v>
      </c>
      <c r="G25" s="20" t="s">
        <v>101</v>
      </c>
      <c r="H25" s="22"/>
      <c r="I25" s="23" t="n">
        <f aca="false">IF(AND($K25="Y",$F25&lt;&gt;"Y",OR($T25="",$T25=Summary!$C$11)),$C25*IF($H25&lt;&gt;"",$H25,($D25+$E25)/2)*INDEX(Summary!$C$6:$C$8,MATCH($P25,Summary!$B$6:$B$8,0)),0)</f>
        <v>212.5</v>
      </c>
      <c r="J25" s="20" t="s">
        <v>157</v>
      </c>
      <c r="K25" s="20" t="s">
        <v>103</v>
      </c>
      <c r="L25" s="24" t="s">
        <v>23</v>
      </c>
      <c r="M25" s="24" t="s">
        <v>165</v>
      </c>
      <c r="N25" s="19" t="s">
        <v>176</v>
      </c>
      <c r="O25" s="18" t="s">
        <v>106</v>
      </c>
      <c r="P25" s="20" t="s">
        <v>6</v>
      </c>
      <c r="Q25" s="18" t="s">
        <v>44</v>
      </c>
      <c r="R25" s="24" t="s">
        <v>177</v>
      </c>
      <c r="S25" s="18" t="s">
        <v>40</v>
      </c>
      <c r="T25" s="18"/>
      <c r="U25" s="25" t="n">
        <f aca="false">IF(AND($K25="Y",$F25&lt;&gt;"Y",OR($T25="",$T25=Summary!$C$11)),$C25*IF($H25&lt;&gt;"",$H25,$D25)*INDEX(Summary!$C$6:$C$8,MATCH($P25,Summary!$B$6:$B$8,0)),0)</f>
        <v>150</v>
      </c>
      <c r="V25" s="25" t="n">
        <f aca="false">IF(AND($K25="Y",$F25&lt;&gt;"Y",OR($T25="",$T25=Summary!$C$11)),$C25*IF($H25&lt;&gt;"",$H25,$E25)*INDEX(Summary!$C$6:$C$8,MATCH($P25,Summary!$B$6:$B$8,0)),0)</f>
        <v>275</v>
      </c>
      <c r="W25" s="18" t="s">
        <v>118</v>
      </c>
      <c r="X25" s="24"/>
    </row>
    <row r="26" customFormat="false" ht="30" hidden="false" customHeight="true" outlineLevel="0" collapsed="false">
      <c r="A26" s="18" t="s">
        <v>178</v>
      </c>
      <c r="B26" s="19" t="s">
        <v>179</v>
      </c>
      <c r="C26" s="20" t="n">
        <v>1</v>
      </c>
      <c r="D26" s="21" t="n">
        <v>55</v>
      </c>
      <c r="E26" s="21" t="n">
        <v>140</v>
      </c>
      <c r="F26" s="20" t="s">
        <v>101</v>
      </c>
      <c r="G26" s="20" t="s">
        <v>101</v>
      </c>
      <c r="H26" s="22"/>
      <c r="I26" s="23" t="n">
        <f aca="false">IF(AND($K26="Y",$F26&lt;&gt;"Y",OR($T26="",$T26=Summary!$C$11)),$C26*IF($H26&lt;&gt;"",$H26,($D26+$E26)/2)*INDEX(Summary!$C$6:$C$8,MATCH($P26,Summary!$B$6:$B$8,0)),0)</f>
        <v>97.5</v>
      </c>
      <c r="J26" s="20" t="s">
        <v>102</v>
      </c>
      <c r="K26" s="20" t="s">
        <v>103</v>
      </c>
      <c r="L26" s="24" t="s">
        <v>23</v>
      </c>
      <c r="M26" s="24" t="s">
        <v>165</v>
      </c>
      <c r="N26" s="19" t="s">
        <v>180</v>
      </c>
      <c r="O26" s="18" t="s">
        <v>140</v>
      </c>
      <c r="P26" s="20" t="s">
        <v>6</v>
      </c>
      <c r="Q26" s="18" t="s">
        <v>44</v>
      </c>
      <c r="R26" s="24" t="s">
        <v>132</v>
      </c>
      <c r="S26" s="18" t="s">
        <v>40</v>
      </c>
      <c r="T26" s="18"/>
      <c r="U26" s="25" t="n">
        <f aca="false">IF(AND($K26="Y",$F26&lt;&gt;"Y",OR($T26="",$T26=Summary!$C$11)),$C26*IF($H26&lt;&gt;"",$H26,$D26)*INDEX(Summary!$C$6:$C$8,MATCH($P26,Summary!$B$6:$B$8,0)),0)</f>
        <v>55</v>
      </c>
      <c r="V26" s="25" t="n">
        <f aca="false">IF(AND($K26="Y",$F26&lt;&gt;"Y",OR($T26="",$T26=Summary!$C$11)),$C26*IF($H26&lt;&gt;"",$H26,$E26)*INDEX(Summary!$C$6:$C$8,MATCH($P26,Summary!$B$6:$B$8,0)),0)</f>
        <v>140</v>
      </c>
      <c r="W26" s="18" t="s">
        <v>118</v>
      </c>
      <c r="X26" s="24"/>
    </row>
    <row r="27" customFormat="false" ht="30" hidden="false" customHeight="true" outlineLevel="0" collapsed="false">
      <c r="A27" s="18" t="s">
        <v>181</v>
      </c>
      <c r="B27" s="19" t="s">
        <v>182</v>
      </c>
      <c r="C27" s="20" t="n">
        <v>1</v>
      </c>
      <c r="D27" s="21" t="n">
        <v>30</v>
      </c>
      <c r="E27" s="21" t="n">
        <v>85</v>
      </c>
      <c r="F27" s="20" t="s">
        <v>101</v>
      </c>
      <c r="G27" s="20" t="s">
        <v>101</v>
      </c>
      <c r="H27" s="22"/>
      <c r="I27" s="23" t="n">
        <f aca="false">IF(AND($K27="Y",$F27&lt;&gt;"Y",OR($T27="",$T27=Summary!$C$11)),$C27*IF($H27&lt;&gt;"",$H27,($D27+$E27)/2)*INDEX(Summary!$C$6:$C$8,MATCH($P27,Summary!$B$6:$B$8,0)),0)</f>
        <v>57.5</v>
      </c>
      <c r="J27" s="20" t="s">
        <v>102</v>
      </c>
      <c r="K27" s="20" t="s">
        <v>103</v>
      </c>
      <c r="L27" s="24" t="s">
        <v>23</v>
      </c>
      <c r="M27" s="24" t="s">
        <v>183</v>
      </c>
      <c r="N27" s="19" t="s">
        <v>184</v>
      </c>
      <c r="O27" s="18" t="s">
        <v>140</v>
      </c>
      <c r="P27" s="20" t="s">
        <v>6</v>
      </c>
      <c r="Q27" s="18" t="s">
        <v>44</v>
      </c>
      <c r="R27" s="24" t="s">
        <v>185</v>
      </c>
      <c r="S27" s="18" t="s">
        <v>40</v>
      </c>
      <c r="T27" s="18"/>
      <c r="U27" s="25" t="n">
        <f aca="false">IF(AND($K27="Y",$F27&lt;&gt;"Y",OR($T27="",$T27=Summary!$C$11)),$C27*IF($H27&lt;&gt;"",$H27,$D27)*INDEX(Summary!$C$6:$C$8,MATCH($P27,Summary!$B$6:$B$8,0)),0)</f>
        <v>30</v>
      </c>
      <c r="V27" s="25" t="n">
        <f aca="false">IF(AND($K27="Y",$F27&lt;&gt;"Y",OR($T27="",$T27=Summary!$C$11)),$C27*IF($H27&lt;&gt;"",$H27,$E27)*INDEX(Summary!$C$6:$C$8,MATCH($P27,Summary!$B$6:$B$8,0)),0)</f>
        <v>85</v>
      </c>
      <c r="W27" s="18" t="s">
        <v>118</v>
      </c>
      <c r="X27" s="24"/>
    </row>
    <row r="28" customFormat="false" ht="30" hidden="false" customHeight="true" outlineLevel="0" collapsed="false">
      <c r="A28" s="18" t="s">
        <v>186</v>
      </c>
      <c r="B28" s="19" t="s">
        <v>187</v>
      </c>
      <c r="C28" s="20" t="n">
        <v>1</v>
      </c>
      <c r="D28" s="21" t="n">
        <v>14</v>
      </c>
      <c r="E28" s="21" t="n">
        <v>35</v>
      </c>
      <c r="F28" s="20" t="s">
        <v>101</v>
      </c>
      <c r="G28" s="20" t="s">
        <v>103</v>
      </c>
      <c r="H28" s="22"/>
      <c r="I28" s="23" t="n">
        <f aca="false">IF(AND($K28="Y",$F28&lt;&gt;"Y",OR($T28="",$T28=Summary!$C$11)),$C28*IF($H28&lt;&gt;"",$H28,($D28+$E28)/2)*INDEX(Summary!$C$6:$C$8,MATCH($P28,Summary!$B$6:$B$8,0)),0)</f>
        <v>0</v>
      </c>
      <c r="J28" s="20" t="s">
        <v>126</v>
      </c>
      <c r="K28" s="20" t="s">
        <v>101</v>
      </c>
      <c r="L28" s="24" t="s">
        <v>23</v>
      </c>
      <c r="M28" s="24" t="s">
        <v>183</v>
      </c>
      <c r="N28" s="19" t="s">
        <v>188</v>
      </c>
      <c r="O28" s="18" t="s">
        <v>106</v>
      </c>
      <c r="P28" s="20" t="s">
        <v>6</v>
      </c>
      <c r="Q28" s="18" t="s">
        <v>45</v>
      </c>
      <c r="R28" s="24" t="s">
        <v>189</v>
      </c>
      <c r="S28" s="18" t="s">
        <v>40</v>
      </c>
      <c r="T28" s="18"/>
      <c r="U28" s="25" t="n">
        <f aca="false">IF(AND($K28="Y",$F28&lt;&gt;"Y",OR($T28="",$T28=Summary!$C$11)),$C28*IF($H28&lt;&gt;"",$H28,$D28)*INDEX(Summary!$C$6:$C$8,MATCH($P28,Summary!$B$6:$B$8,0)),0)</f>
        <v>0</v>
      </c>
      <c r="V28" s="25" t="n">
        <f aca="false">IF(AND($K28="Y",$F28&lt;&gt;"Y",OR($T28="",$T28=Summary!$C$11)),$C28*IF($H28&lt;&gt;"",$H28,$E28)*INDEX(Summary!$C$6:$C$8,MATCH($P28,Summary!$B$6:$B$8,0)),0)</f>
        <v>0</v>
      </c>
      <c r="W28" s="18" t="s">
        <v>118</v>
      </c>
      <c r="X28" s="26" t="s">
        <v>190</v>
      </c>
    </row>
    <row r="29" customFormat="false" ht="30" hidden="false" customHeight="true" outlineLevel="0" collapsed="false">
      <c r="A29" s="18" t="s">
        <v>191</v>
      </c>
      <c r="B29" s="19" t="s">
        <v>192</v>
      </c>
      <c r="C29" s="20" t="n">
        <v>1</v>
      </c>
      <c r="D29" s="21" t="n">
        <v>7</v>
      </c>
      <c r="E29" s="21" t="n">
        <v>14</v>
      </c>
      <c r="F29" s="20" t="s">
        <v>101</v>
      </c>
      <c r="G29" s="20" t="s">
        <v>101</v>
      </c>
      <c r="H29" s="22"/>
      <c r="I29" s="23" t="n">
        <f aca="false">IF(AND($K29="Y",$F29&lt;&gt;"Y",OR($T29="",$T29=Summary!$C$11)),$C29*IF($H29&lt;&gt;"",$H29,($D29+$E29)/2)*INDEX(Summary!$C$6:$C$8,MATCH($P29,Summary!$B$6:$B$8,0)),0)</f>
        <v>10.5</v>
      </c>
      <c r="J29" s="20" t="s">
        <v>102</v>
      </c>
      <c r="K29" s="20" t="s">
        <v>103</v>
      </c>
      <c r="L29" s="24" t="s">
        <v>23</v>
      </c>
      <c r="M29" s="24" t="s">
        <v>183</v>
      </c>
      <c r="N29" s="19"/>
      <c r="O29" s="18" t="s">
        <v>106</v>
      </c>
      <c r="P29" s="20" t="s">
        <v>6</v>
      </c>
      <c r="Q29" s="18" t="s">
        <v>44</v>
      </c>
      <c r="R29" s="24" t="s">
        <v>193</v>
      </c>
      <c r="S29" s="18" t="s">
        <v>40</v>
      </c>
      <c r="T29" s="18"/>
      <c r="U29" s="25" t="n">
        <f aca="false">IF(AND($K29="Y",$F29&lt;&gt;"Y",OR($T29="",$T29=Summary!$C$11)),$C29*IF($H29&lt;&gt;"",$H29,$D29)*INDEX(Summary!$C$6:$C$8,MATCH($P29,Summary!$B$6:$B$8,0)),0)</f>
        <v>7</v>
      </c>
      <c r="V29" s="25" t="n">
        <f aca="false">IF(AND($K29="Y",$F29&lt;&gt;"Y",OR($T29="",$T29=Summary!$C$11)),$C29*IF($H29&lt;&gt;"",$H29,$E29)*INDEX(Summary!$C$6:$C$8,MATCH($P29,Summary!$B$6:$B$8,0)),0)</f>
        <v>14</v>
      </c>
      <c r="W29" s="18" t="s">
        <v>118</v>
      </c>
      <c r="X29" s="24"/>
    </row>
    <row r="30" customFormat="false" ht="30" hidden="false" customHeight="true" outlineLevel="0" collapsed="false">
      <c r="A30" s="18" t="s">
        <v>194</v>
      </c>
      <c r="B30" s="19" t="s">
        <v>195</v>
      </c>
      <c r="C30" s="20" t="n">
        <v>1</v>
      </c>
      <c r="D30" s="21" t="n">
        <v>55</v>
      </c>
      <c r="E30" s="21" t="n">
        <v>170</v>
      </c>
      <c r="F30" s="20" t="s">
        <v>101</v>
      </c>
      <c r="G30" s="20" t="s">
        <v>101</v>
      </c>
      <c r="H30" s="22"/>
      <c r="I30" s="23" t="n">
        <f aca="false">IF(AND($K30="Y",$F30&lt;&gt;"Y",OR($T30="",$T30=Summary!$C$11)),$C30*IF($H30&lt;&gt;"",$H30,($D30+$E30)/2)*INDEX(Summary!$C$6:$C$8,MATCH($P30,Summary!$B$6:$B$8,0)),0)</f>
        <v>112.5</v>
      </c>
      <c r="J30" s="20" t="s">
        <v>102</v>
      </c>
      <c r="K30" s="20" t="s">
        <v>103</v>
      </c>
      <c r="L30" s="24" t="s">
        <v>23</v>
      </c>
      <c r="M30" s="24" t="s">
        <v>196</v>
      </c>
      <c r="N30" s="19" t="s">
        <v>197</v>
      </c>
      <c r="O30" s="18" t="s">
        <v>106</v>
      </c>
      <c r="P30" s="20" t="s">
        <v>6</v>
      </c>
      <c r="Q30" s="18" t="s">
        <v>44</v>
      </c>
      <c r="R30" s="24" t="s">
        <v>185</v>
      </c>
      <c r="S30" s="18" t="s">
        <v>41</v>
      </c>
      <c r="T30" s="18"/>
      <c r="U30" s="25" t="n">
        <f aca="false">IF(AND($K30="Y",$F30&lt;&gt;"Y",OR($T30="",$T30=Summary!$C$11)),$C30*IF($H30&lt;&gt;"",$H30,$D30)*INDEX(Summary!$C$6:$C$8,MATCH($P30,Summary!$B$6:$B$8,0)),0)</f>
        <v>55</v>
      </c>
      <c r="V30" s="25" t="n">
        <f aca="false">IF(AND($K30="Y",$F30&lt;&gt;"Y",OR($T30="",$T30=Summary!$C$11)),$C30*IF($H30&lt;&gt;"",$H30,$E30)*INDEX(Summary!$C$6:$C$8,MATCH($P30,Summary!$B$6:$B$8,0)),0)</f>
        <v>170</v>
      </c>
      <c r="W30" s="18" t="s">
        <v>118</v>
      </c>
      <c r="X30" s="24"/>
    </row>
    <row r="31" customFormat="false" ht="30" hidden="false" customHeight="true" outlineLevel="0" collapsed="false">
      <c r="A31" s="18" t="s">
        <v>198</v>
      </c>
      <c r="B31" s="19" t="s">
        <v>199</v>
      </c>
      <c r="C31" s="20" t="n">
        <v>1</v>
      </c>
      <c r="D31" s="21" t="n">
        <v>85</v>
      </c>
      <c r="E31" s="21" t="n">
        <v>170</v>
      </c>
      <c r="F31" s="20" t="s">
        <v>101</v>
      </c>
      <c r="G31" s="20" t="s">
        <v>101</v>
      </c>
      <c r="H31" s="22"/>
      <c r="I31" s="23" t="n">
        <f aca="false">IF(AND($K31="Y",$F31&lt;&gt;"Y",OR($T31="",$T31=Summary!$C$11)),$C31*IF($H31&lt;&gt;"",$H31,($D31+$E31)/2)*INDEX(Summary!$C$6:$C$8,MATCH($P31,Summary!$B$6:$B$8,0)),0)</f>
        <v>127.5</v>
      </c>
      <c r="J31" s="20" t="s">
        <v>102</v>
      </c>
      <c r="K31" s="20" t="s">
        <v>103</v>
      </c>
      <c r="L31" s="24" t="s">
        <v>23</v>
      </c>
      <c r="M31" s="24" t="s">
        <v>200</v>
      </c>
      <c r="N31" s="19" t="s">
        <v>201</v>
      </c>
      <c r="O31" s="18" t="s">
        <v>106</v>
      </c>
      <c r="P31" s="20" t="s">
        <v>6</v>
      </c>
      <c r="Q31" s="18" t="s">
        <v>44</v>
      </c>
      <c r="R31" s="24" t="s">
        <v>132</v>
      </c>
      <c r="S31" s="18" t="s">
        <v>41</v>
      </c>
      <c r="T31" s="18"/>
      <c r="U31" s="25" t="n">
        <f aca="false">IF(AND($K31="Y",$F31&lt;&gt;"Y",OR($T31="",$T31=Summary!$C$11)),$C31*IF($H31&lt;&gt;"",$H31,$D31)*INDEX(Summary!$C$6:$C$8,MATCH($P31,Summary!$B$6:$B$8,0)),0)</f>
        <v>85</v>
      </c>
      <c r="V31" s="25" t="n">
        <f aca="false">IF(AND($K31="Y",$F31&lt;&gt;"Y",OR($T31="",$T31=Summary!$C$11)),$C31*IF($H31&lt;&gt;"",$H31,$E31)*INDEX(Summary!$C$6:$C$8,MATCH($P31,Summary!$B$6:$B$8,0)),0)</f>
        <v>170</v>
      </c>
      <c r="W31" s="18" t="s">
        <v>118</v>
      </c>
      <c r="X31" s="24"/>
    </row>
    <row r="32" customFormat="false" ht="30" hidden="false" customHeight="true" outlineLevel="0" collapsed="false">
      <c r="A32" s="18" t="s">
        <v>202</v>
      </c>
      <c r="B32" s="19" t="s">
        <v>203</v>
      </c>
      <c r="C32" s="20" t="n">
        <v>1</v>
      </c>
      <c r="D32" s="21" t="n">
        <v>255</v>
      </c>
      <c r="E32" s="21" t="n">
        <v>400</v>
      </c>
      <c r="F32" s="20" t="s">
        <v>101</v>
      </c>
      <c r="G32" s="20" t="s">
        <v>101</v>
      </c>
      <c r="H32" s="22"/>
      <c r="I32" s="23" t="n">
        <f aca="false">IF(AND($K32="Y",$F32&lt;&gt;"Y",OR($T32="",$T32=Summary!$C$11)),$C32*IF($H32&lt;&gt;"",$H32,($D32+$E32)/2)*INDEX(Summary!$C$6:$C$8,MATCH($P32,Summary!$B$6:$B$8,0)),0)</f>
        <v>327.5</v>
      </c>
      <c r="J32" s="20" t="s">
        <v>102</v>
      </c>
      <c r="K32" s="20" t="s">
        <v>103</v>
      </c>
      <c r="L32" s="24" t="s">
        <v>23</v>
      </c>
      <c r="M32" s="24" t="s">
        <v>200</v>
      </c>
      <c r="N32" s="19"/>
      <c r="O32" s="18" t="s">
        <v>160</v>
      </c>
      <c r="P32" s="20" t="s">
        <v>6</v>
      </c>
      <c r="Q32" s="18" t="s">
        <v>44</v>
      </c>
      <c r="R32" s="24" t="s">
        <v>204</v>
      </c>
      <c r="S32" s="18" t="s">
        <v>41</v>
      </c>
      <c r="T32" s="18"/>
      <c r="U32" s="25" t="n">
        <f aca="false">IF(AND($K32="Y",$F32&lt;&gt;"Y",OR($T32="",$T32=Summary!$C$11)),$C32*IF($H32&lt;&gt;"",$H32,$D32)*INDEX(Summary!$C$6:$C$8,MATCH($P32,Summary!$B$6:$B$8,0)),0)</f>
        <v>255</v>
      </c>
      <c r="V32" s="25" t="n">
        <f aca="false">IF(AND($K32="Y",$F32&lt;&gt;"Y",OR($T32="",$T32=Summary!$C$11)),$C32*IF($H32&lt;&gt;"",$H32,$E32)*INDEX(Summary!$C$6:$C$8,MATCH($P32,Summary!$B$6:$B$8,0)),0)</f>
        <v>400</v>
      </c>
      <c r="W32" s="18" t="s">
        <v>118</v>
      </c>
      <c r="X32" s="24"/>
    </row>
    <row r="33" customFormat="false" ht="30" hidden="false" customHeight="true" outlineLevel="0" collapsed="false">
      <c r="A33" s="18" t="s">
        <v>205</v>
      </c>
      <c r="B33" s="19" t="s">
        <v>206</v>
      </c>
      <c r="C33" s="20" t="n">
        <v>1</v>
      </c>
      <c r="D33" s="21" t="n">
        <v>55</v>
      </c>
      <c r="E33" s="21" t="n">
        <v>100</v>
      </c>
      <c r="F33" s="20" t="s">
        <v>101</v>
      </c>
      <c r="G33" s="20" t="s">
        <v>101</v>
      </c>
      <c r="H33" s="22"/>
      <c r="I33" s="23" t="n">
        <f aca="false">IF(AND($K33="Y",$F33&lt;&gt;"Y",OR($T33="",$T33=Summary!$C$11)),$C33*IF($H33&lt;&gt;"",$H33,($D33+$E33)/2)*INDEX(Summary!$C$6:$C$8,MATCH($P33,Summary!$B$6:$B$8,0)),0)</f>
        <v>0</v>
      </c>
      <c r="J33" s="20" t="s">
        <v>207</v>
      </c>
      <c r="K33" s="20" t="s">
        <v>101</v>
      </c>
      <c r="L33" s="24" t="s">
        <v>23</v>
      </c>
      <c r="M33" s="24" t="s">
        <v>200</v>
      </c>
      <c r="N33" s="19" t="s">
        <v>208</v>
      </c>
      <c r="O33" s="18" t="s">
        <v>140</v>
      </c>
      <c r="P33" s="20" t="s">
        <v>6</v>
      </c>
      <c r="Q33" s="18" t="s">
        <v>44</v>
      </c>
      <c r="R33" s="24" t="s">
        <v>193</v>
      </c>
      <c r="S33" s="18" t="s">
        <v>41</v>
      </c>
      <c r="T33" s="18"/>
      <c r="U33" s="25" t="n">
        <f aca="false">IF(AND($K33="Y",$F33&lt;&gt;"Y",OR($T33="",$T33=Summary!$C$11)),$C33*IF($H33&lt;&gt;"",$H33,$D33)*INDEX(Summary!$C$6:$C$8,MATCH($P33,Summary!$B$6:$B$8,0)),0)</f>
        <v>0</v>
      </c>
      <c r="V33" s="25" t="n">
        <f aca="false">IF(AND($K33="Y",$F33&lt;&gt;"Y",OR($T33="",$T33=Summary!$C$11)),$C33*IF($H33&lt;&gt;"",$H33,$E33)*INDEX(Summary!$C$6:$C$8,MATCH($P33,Summary!$B$6:$B$8,0)),0)</f>
        <v>0</v>
      </c>
      <c r="W33" s="18" t="s">
        <v>118</v>
      </c>
      <c r="X33" s="24"/>
    </row>
    <row r="34" customFormat="false" ht="30" hidden="false" customHeight="true" outlineLevel="0" collapsed="false">
      <c r="A34" s="18" t="s">
        <v>209</v>
      </c>
      <c r="B34" s="19" t="s">
        <v>210</v>
      </c>
      <c r="C34" s="20" t="n">
        <v>1</v>
      </c>
      <c r="D34" s="21" t="n">
        <v>30</v>
      </c>
      <c r="E34" s="21" t="n">
        <v>60</v>
      </c>
      <c r="F34" s="20" t="s">
        <v>101</v>
      </c>
      <c r="G34" s="20" t="s">
        <v>101</v>
      </c>
      <c r="H34" s="22"/>
      <c r="I34" s="23" t="n">
        <f aca="false">IF(AND($K34="Y",$F34&lt;&gt;"Y",OR($T34="",$T34=Summary!$C$11)),$C34*IF($H34&lt;&gt;"",$H34,($D34+$E34)/2)*INDEX(Summary!$C$6:$C$8,MATCH($P34,Summary!$B$6:$B$8,0)),0)</f>
        <v>45</v>
      </c>
      <c r="J34" s="20" t="s">
        <v>102</v>
      </c>
      <c r="K34" s="20" t="s">
        <v>103</v>
      </c>
      <c r="L34" s="24" t="s">
        <v>23</v>
      </c>
      <c r="M34" s="24" t="s">
        <v>211</v>
      </c>
      <c r="N34" s="19"/>
      <c r="O34" s="18" t="s">
        <v>212</v>
      </c>
      <c r="P34" s="20" t="s">
        <v>6</v>
      </c>
      <c r="Q34" s="18" t="s">
        <v>44</v>
      </c>
      <c r="R34" s="24" t="s">
        <v>213</v>
      </c>
      <c r="S34" s="18" t="s">
        <v>40</v>
      </c>
      <c r="T34" s="18"/>
      <c r="U34" s="25" t="n">
        <f aca="false">IF(AND($K34="Y",$F34&lt;&gt;"Y",OR($T34="",$T34=Summary!$C$11)),$C34*IF($H34&lt;&gt;"",$H34,$D34)*INDEX(Summary!$C$6:$C$8,MATCH($P34,Summary!$B$6:$B$8,0)),0)</f>
        <v>30</v>
      </c>
      <c r="V34" s="25" t="n">
        <f aca="false">IF(AND($K34="Y",$F34&lt;&gt;"Y",OR($T34="",$T34=Summary!$C$11)),$C34*IF($H34&lt;&gt;"",$H34,$E34)*INDEX(Summary!$C$6:$C$8,MATCH($P34,Summary!$B$6:$B$8,0)),0)</f>
        <v>60</v>
      </c>
      <c r="W34" s="18" t="s">
        <v>118</v>
      </c>
      <c r="X34" s="24"/>
    </row>
    <row r="35" customFormat="false" ht="30" hidden="false" customHeight="true" outlineLevel="0" collapsed="false">
      <c r="A35" s="18" t="s">
        <v>214</v>
      </c>
      <c r="B35" s="19" t="s">
        <v>215</v>
      </c>
      <c r="C35" s="20" t="n">
        <v>1</v>
      </c>
      <c r="D35" s="21" t="n">
        <v>605</v>
      </c>
      <c r="E35" s="21" t="n">
        <v>1415</v>
      </c>
      <c r="F35" s="20" t="s">
        <v>101</v>
      </c>
      <c r="G35" s="20" t="s">
        <v>101</v>
      </c>
      <c r="H35" s="22"/>
      <c r="I35" s="23" t="n">
        <f aca="false">IF(AND($K35="Y",$F35&lt;&gt;"Y",OR($T35="",$T35=Summary!$C$11)),$C35*IF($H35&lt;&gt;"",$H35,($D35+$E35)/2)*INDEX(Summary!$C$6:$C$8,MATCH($P35,Summary!$B$6:$B$8,0)),0)</f>
        <v>1010</v>
      </c>
      <c r="J35" s="20" t="s">
        <v>102</v>
      </c>
      <c r="K35" s="20" t="s">
        <v>103</v>
      </c>
      <c r="L35" s="24" t="s">
        <v>24</v>
      </c>
      <c r="M35" s="24" t="s">
        <v>216</v>
      </c>
      <c r="N35" s="19" t="s">
        <v>217</v>
      </c>
      <c r="O35" s="18" t="s">
        <v>106</v>
      </c>
      <c r="P35" s="20" t="s">
        <v>6</v>
      </c>
      <c r="Q35" s="18" t="s">
        <v>44</v>
      </c>
      <c r="R35" s="24" t="s">
        <v>218</v>
      </c>
      <c r="S35" s="18" t="s">
        <v>40</v>
      </c>
      <c r="T35" s="18" t="s">
        <v>15</v>
      </c>
      <c r="U35" s="25" t="n">
        <f aca="false">IF(AND($K35="Y",$F35&lt;&gt;"Y",OR($T35="",$T35=Summary!$C$11)),$C35*IF($H35&lt;&gt;"",$H35,$D35)*INDEX(Summary!$C$6:$C$8,MATCH($P35,Summary!$B$6:$B$8,0)),0)</f>
        <v>605</v>
      </c>
      <c r="V35" s="25" t="n">
        <f aca="false">IF(AND($K35="Y",$F35&lt;&gt;"Y",OR($T35="",$T35=Summary!$C$11)),$C35*IF($H35&lt;&gt;"",$H35,$E35)*INDEX(Summary!$C$6:$C$8,MATCH($P35,Summary!$B$6:$B$8,0)),0)</f>
        <v>1415</v>
      </c>
      <c r="W35" s="18" t="s">
        <v>219</v>
      </c>
      <c r="X35" s="26" t="s">
        <v>220</v>
      </c>
    </row>
    <row r="36" customFormat="false" ht="30" hidden="false" customHeight="true" outlineLevel="0" collapsed="false">
      <c r="A36" s="18" t="s">
        <v>221</v>
      </c>
      <c r="B36" s="19" t="s">
        <v>222</v>
      </c>
      <c r="C36" s="20" t="n">
        <v>1</v>
      </c>
      <c r="D36" s="21" t="n">
        <v>215</v>
      </c>
      <c r="E36" s="21" t="n">
        <v>495</v>
      </c>
      <c r="F36" s="20" t="s">
        <v>101</v>
      </c>
      <c r="G36" s="20" t="s">
        <v>101</v>
      </c>
      <c r="H36" s="22"/>
      <c r="I36" s="23" t="n">
        <f aca="false">IF(AND($K36="Y",$F36&lt;&gt;"Y",OR($T36="",$T36=Summary!$C$11)),$C36*IF($H36&lt;&gt;"",$H36,($D36+$E36)/2)*INDEX(Summary!$C$6:$C$8,MATCH($P36,Summary!$B$6:$B$8,0)),0)</f>
        <v>355</v>
      </c>
      <c r="J36" s="20" t="s">
        <v>102</v>
      </c>
      <c r="K36" s="20" t="s">
        <v>103</v>
      </c>
      <c r="L36" s="24" t="s">
        <v>24</v>
      </c>
      <c r="M36" s="24" t="s">
        <v>216</v>
      </c>
      <c r="N36" s="19"/>
      <c r="O36" s="18" t="s">
        <v>106</v>
      </c>
      <c r="P36" s="20" t="s">
        <v>6</v>
      </c>
      <c r="Q36" s="18" t="s">
        <v>44</v>
      </c>
      <c r="R36" s="24" t="s">
        <v>7</v>
      </c>
      <c r="S36" s="18" t="s">
        <v>40</v>
      </c>
      <c r="T36" s="18" t="s">
        <v>15</v>
      </c>
      <c r="U36" s="25" t="n">
        <f aca="false">IF(AND($K36="Y",$F36&lt;&gt;"Y",OR($T36="",$T36=Summary!$C$11)),$C36*IF($H36&lt;&gt;"",$H36,$D36)*INDEX(Summary!$C$6:$C$8,MATCH($P36,Summary!$B$6:$B$8,0)),0)</f>
        <v>215</v>
      </c>
      <c r="V36" s="25" t="n">
        <f aca="false">IF(AND($K36="Y",$F36&lt;&gt;"Y",OR($T36="",$T36=Summary!$C$11)),$C36*IF($H36&lt;&gt;"",$H36,$E36)*INDEX(Summary!$C$6:$C$8,MATCH($P36,Summary!$B$6:$B$8,0)),0)</f>
        <v>495</v>
      </c>
      <c r="W36" s="18" t="s">
        <v>219</v>
      </c>
      <c r="X36" s="24"/>
    </row>
    <row r="37" customFormat="false" ht="30" hidden="false" customHeight="true" outlineLevel="0" collapsed="false">
      <c r="A37" s="18" t="s">
        <v>223</v>
      </c>
      <c r="B37" s="19" t="s">
        <v>224</v>
      </c>
      <c r="C37" s="20" t="n">
        <v>1</v>
      </c>
      <c r="D37" s="21" t="n">
        <v>35</v>
      </c>
      <c r="E37" s="21" t="n">
        <v>70</v>
      </c>
      <c r="F37" s="20" t="s">
        <v>101</v>
      </c>
      <c r="G37" s="20" t="s">
        <v>101</v>
      </c>
      <c r="H37" s="22"/>
      <c r="I37" s="23" t="n">
        <f aca="false">IF(AND($K37="Y",$F37&lt;&gt;"Y",OR($T37="",$T37=Summary!$C$11)),$C37*IF($H37&lt;&gt;"",$H37,($D37+$E37)/2)*INDEX(Summary!$C$6:$C$8,MATCH($P37,Summary!$B$6:$B$8,0)),0)</f>
        <v>52.5</v>
      </c>
      <c r="J37" s="20" t="s">
        <v>102</v>
      </c>
      <c r="K37" s="20" t="s">
        <v>103</v>
      </c>
      <c r="L37" s="24" t="s">
        <v>24</v>
      </c>
      <c r="M37" s="24" t="s">
        <v>216</v>
      </c>
      <c r="N37" s="19"/>
      <c r="O37" s="18" t="s">
        <v>106</v>
      </c>
      <c r="P37" s="20" t="s">
        <v>6</v>
      </c>
      <c r="Q37" s="18" t="s">
        <v>44</v>
      </c>
      <c r="R37" s="24" t="s">
        <v>150</v>
      </c>
      <c r="S37" s="18" t="s">
        <v>40</v>
      </c>
      <c r="T37" s="18" t="s">
        <v>15</v>
      </c>
      <c r="U37" s="25" t="n">
        <f aca="false">IF(AND($K37="Y",$F37&lt;&gt;"Y",OR($T37="",$T37=Summary!$C$11)),$C37*IF($H37&lt;&gt;"",$H37,$D37)*INDEX(Summary!$C$6:$C$8,MATCH($P37,Summary!$B$6:$B$8,0)),0)</f>
        <v>35</v>
      </c>
      <c r="V37" s="25" t="n">
        <f aca="false">IF(AND($K37="Y",$F37&lt;&gt;"Y",OR($T37="",$T37=Summary!$C$11)),$C37*IF($H37&lt;&gt;"",$H37,$E37)*INDEX(Summary!$C$6:$C$8,MATCH($P37,Summary!$B$6:$B$8,0)),0)</f>
        <v>70</v>
      </c>
      <c r="W37" s="18" t="s">
        <v>118</v>
      </c>
      <c r="X37" s="24"/>
    </row>
    <row r="38" customFormat="false" ht="30" hidden="false" customHeight="true" outlineLevel="0" collapsed="false">
      <c r="A38" s="18" t="s">
        <v>225</v>
      </c>
      <c r="B38" s="19" t="s">
        <v>226</v>
      </c>
      <c r="C38" s="20" t="n">
        <v>1</v>
      </c>
      <c r="D38" s="21" t="n">
        <v>0</v>
      </c>
      <c r="E38" s="21" t="n">
        <v>55</v>
      </c>
      <c r="F38" s="20" t="s">
        <v>101</v>
      </c>
      <c r="G38" s="20" t="s">
        <v>101</v>
      </c>
      <c r="H38" s="22"/>
      <c r="I38" s="23" t="n">
        <f aca="false">IF(AND($K38="Y",$F38&lt;&gt;"Y",OR($T38="",$T38=Summary!$C$11)),$C38*IF($H38&lt;&gt;"",$H38,($D38+$E38)/2)*INDEX(Summary!$C$6:$C$8,MATCH($P38,Summary!$B$6:$B$8,0)),0)</f>
        <v>27.5</v>
      </c>
      <c r="J38" s="20" t="s">
        <v>157</v>
      </c>
      <c r="K38" s="20" t="s">
        <v>103</v>
      </c>
      <c r="L38" s="24" t="s">
        <v>24</v>
      </c>
      <c r="M38" s="24" t="s">
        <v>216</v>
      </c>
      <c r="N38" s="19" t="s">
        <v>227</v>
      </c>
      <c r="O38" s="18" t="s">
        <v>106</v>
      </c>
      <c r="P38" s="20" t="s">
        <v>6</v>
      </c>
      <c r="Q38" s="18" t="s">
        <v>44</v>
      </c>
      <c r="R38" s="24" t="s">
        <v>7</v>
      </c>
      <c r="S38" s="18" t="s">
        <v>40</v>
      </c>
      <c r="T38" s="18" t="s">
        <v>15</v>
      </c>
      <c r="U38" s="25" t="n">
        <f aca="false">IF(AND($K38="Y",$F38&lt;&gt;"Y",OR($T38="",$T38=Summary!$C$11)),$C38*IF($H38&lt;&gt;"",$H38,$D38)*INDEX(Summary!$C$6:$C$8,MATCH($P38,Summary!$B$6:$B$8,0)),0)</f>
        <v>0</v>
      </c>
      <c r="V38" s="25" t="n">
        <f aca="false">IF(AND($K38="Y",$F38&lt;&gt;"Y",OR($T38="",$T38=Summary!$C$11)),$C38*IF($H38&lt;&gt;"",$H38,$E38)*INDEX(Summary!$C$6:$C$8,MATCH($P38,Summary!$B$6:$B$8,0)),0)</f>
        <v>55</v>
      </c>
      <c r="W38" s="18" t="s">
        <v>118</v>
      </c>
      <c r="X38" s="24"/>
    </row>
    <row r="39" customFormat="false" ht="30" hidden="false" customHeight="true" outlineLevel="0" collapsed="false">
      <c r="A39" s="18" t="s">
        <v>228</v>
      </c>
      <c r="B39" s="19" t="s">
        <v>229</v>
      </c>
      <c r="C39" s="20" t="n">
        <v>1</v>
      </c>
      <c r="D39" s="21" t="n">
        <v>215</v>
      </c>
      <c r="E39" s="21" t="n">
        <v>425</v>
      </c>
      <c r="F39" s="20" t="s">
        <v>101</v>
      </c>
      <c r="G39" s="20" t="s">
        <v>103</v>
      </c>
      <c r="H39" s="22"/>
      <c r="I39" s="23" t="n">
        <f aca="false">IF(AND($K39="Y",$F39&lt;&gt;"Y",OR($T39="",$T39=Summary!$C$11)),$C39*IF($H39&lt;&gt;"",$H39,($D39+$E39)/2)*INDEX(Summary!$C$6:$C$8,MATCH($P39,Summary!$B$6:$B$8,0)),0)</f>
        <v>320</v>
      </c>
      <c r="J39" s="20" t="s">
        <v>102</v>
      </c>
      <c r="K39" s="20" t="s">
        <v>103</v>
      </c>
      <c r="L39" s="24" t="s">
        <v>24</v>
      </c>
      <c r="M39" s="24" t="s">
        <v>230</v>
      </c>
      <c r="N39" s="19" t="s">
        <v>231</v>
      </c>
      <c r="O39" s="18" t="s">
        <v>106</v>
      </c>
      <c r="P39" s="20" t="s">
        <v>6</v>
      </c>
      <c r="Q39" s="18" t="s">
        <v>45</v>
      </c>
      <c r="R39" s="24" t="s">
        <v>232</v>
      </c>
      <c r="S39" s="18" t="s">
        <v>40</v>
      </c>
      <c r="T39" s="18" t="s">
        <v>15</v>
      </c>
      <c r="U39" s="25" t="n">
        <f aca="false">IF(AND($K39="Y",$F39&lt;&gt;"Y",OR($T39="",$T39=Summary!$C$11)),$C39*IF($H39&lt;&gt;"",$H39,$D39)*INDEX(Summary!$C$6:$C$8,MATCH($P39,Summary!$B$6:$B$8,0)),0)</f>
        <v>215</v>
      </c>
      <c r="V39" s="25" t="n">
        <f aca="false">IF(AND($K39="Y",$F39&lt;&gt;"Y",OR($T39="",$T39=Summary!$C$11)),$C39*IF($H39&lt;&gt;"",$H39,$E39)*INDEX(Summary!$C$6:$C$8,MATCH($P39,Summary!$B$6:$B$8,0)),0)</f>
        <v>425</v>
      </c>
      <c r="W39" s="18" t="s">
        <v>118</v>
      </c>
      <c r="X39" s="26" t="s">
        <v>233</v>
      </c>
    </row>
    <row r="40" customFormat="false" ht="30" hidden="false" customHeight="true" outlineLevel="0" collapsed="false">
      <c r="A40" s="18" t="s">
        <v>234</v>
      </c>
      <c r="B40" s="19" t="s">
        <v>235</v>
      </c>
      <c r="C40" s="20" t="n">
        <v>2</v>
      </c>
      <c r="D40" s="21" t="n">
        <v>6</v>
      </c>
      <c r="E40" s="21" t="n">
        <v>14</v>
      </c>
      <c r="F40" s="20" t="s">
        <v>101</v>
      </c>
      <c r="G40" s="20" t="s">
        <v>101</v>
      </c>
      <c r="H40" s="22"/>
      <c r="I40" s="23" t="n">
        <f aca="false">IF(AND($K40="Y",$F40&lt;&gt;"Y",OR($T40="",$T40=Summary!$C$11)),$C40*IF($H40&lt;&gt;"",$H40,($D40+$E40)/2)*INDEX(Summary!$C$6:$C$8,MATCH($P40,Summary!$B$6:$B$8,0)),0)</f>
        <v>20</v>
      </c>
      <c r="J40" s="20" t="s">
        <v>102</v>
      </c>
      <c r="K40" s="20" t="s">
        <v>103</v>
      </c>
      <c r="L40" s="24" t="s">
        <v>24</v>
      </c>
      <c r="M40" s="24" t="s">
        <v>230</v>
      </c>
      <c r="N40" s="19" t="s">
        <v>236</v>
      </c>
      <c r="O40" s="18" t="s">
        <v>106</v>
      </c>
      <c r="P40" s="20" t="s">
        <v>6</v>
      </c>
      <c r="Q40" s="18" t="s">
        <v>44</v>
      </c>
      <c r="R40" s="24" t="s">
        <v>237</v>
      </c>
      <c r="S40" s="18" t="s">
        <v>40</v>
      </c>
      <c r="T40" s="18" t="s">
        <v>15</v>
      </c>
      <c r="U40" s="25" t="n">
        <f aca="false">IF(AND($K40="Y",$F40&lt;&gt;"Y",OR($T40="",$T40=Summary!$C$11)),$C40*IF($H40&lt;&gt;"",$H40,$D40)*INDEX(Summary!$C$6:$C$8,MATCH($P40,Summary!$B$6:$B$8,0)),0)</f>
        <v>12</v>
      </c>
      <c r="V40" s="25" t="n">
        <f aca="false">IF(AND($K40="Y",$F40&lt;&gt;"Y",OR($T40="",$T40=Summary!$C$11)),$C40*IF($H40&lt;&gt;"",$H40,$E40)*INDEX(Summary!$C$6:$C$8,MATCH($P40,Summary!$B$6:$B$8,0)),0)</f>
        <v>28</v>
      </c>
      <c r="W40" s="18" t="s">
        <v>118</v>
      </c>
      <c r="X40" s="24"/>
    </row>
    <row r="41" customFormat="false" ht="30" hidden="false" customHeight="true" outlineLevel="0" collapsed="false">
      <c r="A41" s="18" t="s">
        <v>238</v>
      </c>
      <c r="B41" s="19" t="s">
        <v>239</v>
      </c>
      <c r="C41" s="20" t="n">
        <v>2</v>
      </c>
      <c r="D41" s="21" t="n">
        <v>6</v>
      </c>
      <c r="E41" s="21" t="n">
        <v>14</v>
      </c>
      <c r="F41" s="20" t="s">
        <v>101</v>
      </c>
      <c r="G41" s="20" t="s">
        <v>101</v>
      </c>
      <c r="H41" s="22"/>
      <c r="I41" s="23" t="n">
        <f aca="false">IF(AND($K41="Y",$F41&lt;&gt;"Y",OR($T41="",$T41=Summary!$C$11)),$C41*IF($H41&lt;&gt;"",$H41,($D41+$E41)/2)*INDEX(Summary!$C$6:$C$8,MATCH($P41,Summary!$B$6:$B$8,0)),0)</f>
        <v>20</v>
      </c>
      <c r="J41" s="20" t="s">
        <v>102</v>
      </c>
      <c r="K41" s="20" t="s">
        <v>103</v>
      </c>
      <c r="L41" s="24" t="s">
        <v>24</v>
      </c>
      <c r="M41" s="24" t="s">
        <v>230</v>
      </c>
      <c r="N41" s="19" t="s">
        <v>240</v>
      </c>
      <c r="O41" s="18" t="s">
        <v>106</v>
      </c>
      <c r="P41" s="20" t="s">
        <v>6</v>
      </c>
      <c r="Q41" s="18" t="s">
        <v>44</v>
      </c>
      <c r="R41" s="24" t="s">
        <v>237</v>
      </c>
      <c r="S41" s="18" t="s">
        <v>40</v>
      </c>
      <c r="T41" s="18" t="s">
        <v>15</v>
      </c>
      <c r="U41" s="25" t="n">
        <f aca="false">IF(AND($K41="Y",$F41&lt;&gt;"Y",OR($T41="",$T41=Summary!$C$11)),$C41*IF($H41&lt;&gt;"",$H41,$D41)*INDEX(Summary!$C$6:$C$8,MATCH($P41,Summary!$B$6:$B$8,0)),0)</f>
        <v>12</v>
      </c>
      <c r="V41" s="25" t="n">
        <f aca="false">IF(AND($K41="Y",$F41&lt;&gt;"Y",OR($T41="",$T41=Summary!$C$11)),$C41*IF($H41&lt;&gt;"",$H41,$E41)*INDEX(Summary!$C$6:$C$8,MATCH($P41,Summary!$B$6:$B$8,0)),0)</f>
        <v>28</v>
      </c>
      <c r="W41" s="18" t="s">
        <v>118</v>
      </c>
      <c r="X41" s="24"/>
    </row>
    <row r="42" customFormat="false" ht="30" hidden="false" customHeight="true" outlineLevel="0" collapsed="false">
      <c r="A42" s="18" t="s">
        <v>241</v>
      </c>
      <c r="B42" s="19" t="s">
        <v>242</v>
      </c>
      <c r="C42" s="20" t="n">
        <v>1</v>
      </c>
      <c r="D42" s="21" t="n">
        <v>0</v>
      </c>
      <c r="E42" s="21" t="n">
        <v>55</v>
      </c>
      <c r="F42" s="20" t="s">
        <v>101</v>
      </c>
      <c r="G42" s="20" t="s">
        <v>101</v>
      </c>
      <c r="H42" s="22"/>
      <c r="I42" s="23" t="n">
        <f aca="false">IF(AND($K42="Y",$F42&lt;&gt;"Y",OR($T42="",$T42=Summary!$C$11)),$C42*IF($H42&lt;&gt;"",$H42,($D42+$E42)/2)*INDEX(Summary!$C$6:$C$8,MATCH($P42,Summary!$B$6:$B$8,0)),0)</f>
        <v>27.5</v>
      </c>
      <c r="J42" s="20" t="s">
        <v>126</v>
      </c>
      <c r="K42" s="20" t="s">
        <v>103</v>
      </c>
      <c r="L42" s="24" t="s">
        <v>24</v>
      </c>
      <c r="M42" s="24" t="s">
        <v>230</v>
      </c>
      <c r="N42" s="19"/>
      <c r="O42" s="18" t="s">
        <v>140</v>
      </c>
      <c r="P42" s="20" t="s">
        <v>6</v>
      </c>
      <c r="Q42" s="18" t="s">
        <v>44</v>
      </c>
      <c r="R42" s="24" t="s">
        <v>243</v>
      </c>
      <c r="S42" s="18" t="s">
        <v>40</v>
      </c>
      <c r="T42" s="18" t="s">
        <v>15</v>
      </c>
      <c r="U42" s="25" t="n">
        <f aca="false">IF(AND($K42="Y",$F42&lt;&gt;"Y",OR($T42="",$T42=Summary!$C$11)),$C42*IF($H42&lt;&gt;"",$H42,$D42)*INDEX(Summary!$C$6:$C$8,MATCH($P42,Summary!$B$6:$B$8,0)),0)</f>
        <v>0</v>
      </c>
      <c r="V42" s="25" t="n">
        <f aca="false">IF(AND($K42="Y",$F42&lt;&gt;"Y",OR($T42="",$T42=Summary!$C$11)),$C42*IF($H42&lt;&gt;"",$H42,$E42)*INDEX(Summary!$C$6:$C$8,MATCH($P42,Summary!$B$6:$B$8,0)),0)</f>
        <v>55</v>
      </c>
      <c r="W42" s="18" t="s">
        <v>118</v>
      </c>
      <c r="X42" s="26" t="s">
        <v>244</v>
      </c>
    </row>
    <row r="43" customFormat="false" ht="30" hidden="false" customHeight="true" outlineLevel="0" collapsed="false">
      <c r="A43" s="18" t="s">
        <v>245</v>
      </c>
      <c r="B43" s="19" t="s">
        <v>246</v>
      </c>
      <c r="C43" s="20" t="n">
        <v>2</v>
      </c>
      <c r="D43" s="21" t="n">
        <v>0</v>
      </c>
      <c r="E43" s="21" t="n">
        <v>50</v>
      </c>
      <c r="F43" s="20" t="s">
        <v>101</v>
      </c>
      <c r="G43" s="20" t="s">
        <v>101</v>
      </c>
      <c r="H43" s="22"/>
      <c r="I43" s="23" t="n">
        <f aca="false">IF(AND($K43="Y",$F43&lt;&gt;"Y",OR($T43="",$T43=Summary!$C$11)),$C43*IF($H43&lt;&gt;"",$H43,($D43+$E43)/2)*INDEX(Summary!$C$6:$C$8,MATCH($P43,Summary!$B$6:$B$8,0)),0)</f>
        <v>50</v>
      </c>
      <c r="J43" s="20" t="s">
        <v>157</v>
      </c>
      <c r="K43" s="20" t="s">
        <v>103</v>
      </c>
      <c r="L43" s="24" t="s">
        <v>24</v>
      </c>
      <c r="M43" s="24" t="s">
        <v>230</v>
      </c>
      <c r="N43" s="19" t="s">
        <v>247</v>
      </c>
      <c r="O43" s="18" t="s">
        <v>106</v>
      </c>
      <c r="P43" s="20" t="s">
        <v>6</v>
      </c>
      <c r="Q43" s="18" t="s">
        <v>44</v>
      </c>
      <c r="R43" s="24" t="s">
        <v>248</v>
      </c>
      <c r="S43" s="18" t="s">
        <v>42</v>
      </c>
      <c r="T43" s="18" t="s">
        <v>15</v>
      </c>
      <c r="U43" s="25" t="n">
        <f aca="false">IF(AND($K43="Y",$F43&lt;&gt;"Y",OR($T43="",$T43=Summary!$C$11)),$C43*IF($H43&lt;&gt;"",$H43,$D43)*INDEX(Summary!$C$6:$C$8,MATCH($P43,Summary!$B$6:$B$8,0)),0)</f>
        <v>0</v>
      </c>
      <c r="V43" s="25" t="n">
        <f aca="false">IF(AND($K43="Y",$F43&lt;&gt;"Y",OR($T43="",$T43=Summary!$C$11)),$C43*IF($H43&lt;&gt;"",$H43,$E43)*INDEX(Summary!$C$6:$C$8,MATCH($P43,Summary!$B$6:$B$8,0)),0)</f>
        <v>100</v>
      </c>
      <c r="W43" s="18" t="s">
        <v>118</v>
      </c>
      <c r="X43" s="24"/>
    </row>
    <row r="44" customFormat="false" ht="30" hidden="false" customHeight="true" outlineLevel="0" collapsed="false">
      <c r="A44" s="18" t="s">
        <v>249</v>
      </c>
      <c r="B44" s="19" t="s">
        <v>250</v>
      </c>
      <c r="C44" s="20" t="n">
        <v>8</v>
      </c>
      <c r="D44" s="21" t="n">
        <v>3</v>
      </c>
      <c r="E44" s="21" t="n">
        <v>7</v>
      </c>
      <c r="F44" s="20" t="s">
        <v>101</v>
      </c>
      <c r="G44" s="20" t="s">
        <v>101</v>
      </c>
      <c r="H44" s="22"/>
      <c r="I44" s="23" t="n">
        <f aca="false">IF(AND($K44="Y",$F44&lt;&gt;"Y",OR($T44="",$T44=Summary!$C$11)),$C44*IF($H44&lt;&gt;"",$H44,($D44+$E44)/2)*INDEX(Summary!$C$6:$C$8,MATCH($P44,Summary!$B$6:$B$8,0)),0)</f>
        <v>40</v>
      </c>
      <c r="J44" s="20" t="s">
        <v>102</v>
      </c>
      <c r="K44" s="20" t="s">
        <v>103</v>
      </c>
      <c r="L44" s="24" t="s">
        <v>24</v>
      </c>
      <c r="M44" s="24" t="s">
        <v>230</v>
      </c>
      <c r="N44" s="19" t="s">
        <v>251</v>
      </c>
      <c r="O44" s="18" t="s">
        <v>106</v>
      </c>
      <c r="P44" s="20" t="s">
        <v>6</v>
      </c>
      <c r="Q44" s="18" t="s">
        <v>44</v>
      </c>
      <c r="R44" s="24" t="s">
        <v>252</v>
      </c>
      <c r="S44" s="18" t="s">
        <v>40</v>
      </c>
      <c r="T44" s="18" t="s">
        <v>15</v>
      </c>
      <c r="U44" s="25" t="n">
        <f aca="false">IF(AND($K44="Y",$F44&lt;&gt;"Y",OR($T44="",$T44=Summary!$C$11)),$C44*IF($H44&lt;&gt;"",$H44,$D44)*INDEX(Summary!$C$6:$C$8,MATCH($P44,Summary!$B$6:$B$8,0)),0)</f>
        <v>24</v>
      </c>
      <c r="V44" s="25" t="n">
        <f aca="false">IF(AND($K44="Y",$F44&lt;&gt;"Y",OR($T44="",$T44=Summary!$C$11)),$C44*IF($H44&lt;&gt;"",$H44,$E44)*INDEX(Summary!$C$6:$C$8,MATCH($P44,Summary!$B$6:$B$8,0)),0)</f>
        <v>56</v>
      </c>
      <c r="W44" s="18" t="s">
        <v>118</v>
      </c>
      <c r="X44" s="24"/>
    </row>
    <row r="45" customFormat="false" ht="30" hidden="false" customHeight="true" outlineLevel="0" collapsed="false">
      <c r="A45" s="18" t="s">
        <v>253</v>
      </c>
      <c r="B45" s="19" t="s">
        <v>254</v>
      </c>
      <c r="C45" s="20" t="n">
        <v>8</v>
      </c>
      <c r="D45" s="21" t="n">
        <v>3</v>
      </c>
      <c r="E45" s="21" t="n">
        <v>7</v>
      </c>
      <c r="F45" s="20" t="s">
        <v>101</v>
      </c>
      <c r="G45" s="20" t="s">
        <v>101</v>
      </c>
      <c r="H45" s="22"/>
      <c r="I45" s="23" t="n">
        <f aca="false">IF(AND($K45="Y",$F45&lt;&gt;"Y",OR($T45="",$T45=Summary!$C$11)),$C45*IF($H45&lt;&gt;"",$H45,($D45+$E45)/2)*INDEX(Summary!$C$6:$C$8,MATCH($P45,Summary!$B$6:$B$8,0)),0)</f>
        <v>40</v>
      </c>
      <c r="J45" s="20" t="s">
        <v>102</v>
      </c>
      <c r="K45" s="20" t="s">
        <v>103</v>
      </c>
      <c r="L45" s="24" t="s">
        <v>24</v>
      </c>
      <c r="M45" s="24" t="s">
        <v>230</v>
      </c>
      <c r="N45" s="19" t="s">
        <v>255</v>
      </c>
      <c r="O45" s="18" t="s">
        <v>106</v>
      </c>
      <c r="P45" s="20" t="s">
        <v>6</v>
      </c>
      <c r="Q45" s="18" t="s">
        <v>44</v>
      </c>
      <c r="R45" s="24" t="s">
        <v>252</v>
      </c>
      <c r="S45" s="18" t="s">
        <v>40</v>
      </c>
      <c r="T45" s="18" t="s">
        <v>15</v>
      </c>
      <c r="U45" s="25" t="n">
        <f aca="false">IF(AND($K45="Y",$F45&lt;&gt;"Y",OR($T45="",$T45=Summary!$C$11)),$C45*IF($H45&lt;&gt;"",$H45,$D45)*INDEX(Summary!$C$6:$C$8,MATCH($P45,Summary!$B$6:$B$8,0)),0)</f>
        <v>24</v>
      </c>
      <c r="V45" s="25" t="n">
        <f aca="false">IF(AND($K45="Y",$F45&lt;&gt;"Y",OR($T45="",$T45=Summary!$C$11)),$C45*IF($H45&lt;&gt;"",$H45,$E45)*INDEX(Summary!$C$6:$C$8,MATCH($P45,Summary!$B$6:$B$8,0)),0)</f>
        <v>56</v>
      </c>
      <c r="W45" s="18" t="s">
        <v>118</v>
      </c>
      <c r="X45" s="24"/>
    </row>
    <row r="46" customFormat="false" ht="30" hidden="false" customHeight="true" outlineLevel="0" collapsed="false">
      <c r="A46" s="18" t="s">
        <v>256</v>
      </c>
      <c r="B46" s="19" t="s">
        <v>257</v>
      </c>
      <c r="C46" s="20" t="n">
        <v>1</v>
      </c>
      <c r="D46" s="21" t="n">
        <v>15</v>
      </c>
      <c r="E46" s="21" t="n">
        <v>40</v>
      </c>
      <c r="F46" s="20" t="s">
        <v>101</v>
      </c>
      <c r="G46" s="20" t="s">
        <v>103</v>
      </c>
      <c r="H46" s="22"/>
      <c r="I46" s="23" t="n">
        <f aca="false">IF(AND($K46="Y",$F46&lt;&gt;"Y",OR($T46="",$T46=Summary!$C$11)),$C46*IF($H46&lt;&gt;"",$H46,($D46+$E46)/2)*INDEX(Summary!$C$6:$C$8,MATCH($P46,Summary!$B$6:$B$8,0)),0)</f>
        <v>27.5</v>
      </c>
      <c r="J46" s="20" t="s">
        <v>102</v>
      </c>
      <c r="K46" s="20" t="s">
        <v>103</v>
      </c>
      <c r="L46" s="24" t="s">
        <v>24</v>
      </c>
      <c r="M46" s="24" t="s">
        <v>230</v>
      </c>
      <c r="N46" s="19" t="s">
        <v>258</v>
      </c>
      <c r="O46" s="18" t="s">
        <v>106</v>
      </c>
      <c r="P46" s="20" t="s">
        <v>6</v>
      </c>
      <c r="Q46" s="18" t="s">
        <v>45</v>
      </c>
      <c r="R46" s="24" t="s">
        <v>259</v>
      </c>
      <c r="S46" s="18" t="s">
        <v>40</v>
      </c>
      <c r="T46" s="18" t="s">
        <v>15</v>
      </c>
      <c r="U46" s="25" t="n">
        <f aca="false">IF(AND($K46="Y",$F46&lt;&gt;"Y",OR($T46="",$T46=Summary!$C$11)),$C46*IF($H46&lt;&gt;"",$H46,$D46)*INDEX(Summary!$C$6:$C$8,MATCH($P46,Summary!$B$6:$B$8,0)),0)</f>
        <v>15</v>
      </c>
      <c r="V46" s="25" t="n">
        <f aca="false">IF(AND($K46="Y",$F46&lt;&gt;"Y",OR($T46="",$T46=Summary!$C$11)),$C46*IF($H46&lt;&gt;"",$H46,$E46)*INDEX(Summary!$C$6:$C$8,MATCH($P46,Summary!$B$6:$B$8,0)),0)</f>
        <v>40</v>
      </c>
      <c r="W46" s="18" t="s">
        <v>118</v>
      </c>
      <c r="X46" s="24"/>
    </row>
    <row r="47" customFormat="false" ht="30" hidden="false" customHeight="true" outlineLevel="0" collapsed="false">
      <c r="A47" s="18" t="s">
        <v>260</v>
      </c>
      <c r="B47" s="19" t="s">
        <v>261</v>
      </c>
      <c r="C47" s="20" t="n">
        <v>1</v>
      </c>
      <c r="D47" s="21" t="n">
        <v>260</v>
      </c>
      <c r="E47" s="21" t="n">
        <v>260</v>
      </c>
      <c r="F47" s="20" t="s">
        <v>101</v>
      </c>
      <c r="G47" s="20" t="s">
        <v>101</v>
      </c>
      <c r="H47" s="22"/>
      <c r="I47" s="23" t="n">
        <f aca="false">IF(AND($K47="Y",$F47&lt;&gt;"Y",OR($T47="",$T47=Summary!$C$11)),$C47*IF($H47&lt;&gt;"",$H47,($D47+$E47)/2)*INDEX(Summary!$C$6:$C$8,MATCH($P47,Summary!$B$6:$B$8,0)),0)</f>
        <v>0</v>
      </c>
      <c r="J47" s="20" t="s">
        <v>207</v>
      </c>
      <c r="K47" s="20" t="s">
        <v>101</v>
      </c>
      <c r="L47" s="24" t="s">
        <v>24</v>
      </c>
      <c r="M47" s="24" t="s">
        <v>230</v>
      </c>
      <c r="N47" s="19" t="s">
        <v>262</v>
      </c>
      <c r="O47" s="18" t="s">
        <v>106</v>
      </c>
      <c r="P47" s="20" t="s">
        <v>6</v>
      </c>
      <c r="Q47" s="18" t="s">
        <v>44</v>
      </c>
      <c r="R47" s="24" t="s">
        <v>263</v>
      </c>
      <c r="S47" s="18" t="s">
        <v>40</v>
      </c>
      <c r="T47" s="18" t="s">
        <v>15</v>
      </c>
      <c r="U47" s="25" t="n">
        <f aca="false">IF(AND($K47="Y",$F47&lt;&gt;"Y",OR($T47="",$T47=Summary!$C$11)),$C47*IF($H47&lt;&gt;"",$H47,$D47)*INDEX(Summary!$C$6:$C$8,MATCH($P47,Summary!$B$6:$B$8,0)),0)</f>
        <v>0</v>
      </c>
      <c r="V47" s="25" t="n">
        <f aca="false">IF(AND($K47="Y",$F47&lt;&gt;"Y",OR($T47="",$T47=Summary!$C$11)),$C47*IF($H47&lt;&gt;"",$H47,$E47)*INDEX(Summary!$C$6:$C$8,MATCH($P47,Summary!$B$6:$B$8,0)),0)</f>
        <v>0</v>
      </c>
      <c r="W47" s="18" t="s">
        <v>219</v>
      </c>
      <c r="X47" s="26" t="s">
        <v>264</v>
      </c>
    </row>
    <row r="48" customFormat="false" ht="30" hidden="false" customHeight="true" outlineLevel="0" collapsed="false">
      <c r="A48" s="18" t="s">
        <v>265</v>
      </c>
      <c r="B48" s="19" t="s">
        <v>266</v>
      </c>
      <c r="C48" s="20" t="n">
        <v>1</v>
      </c>
      <c r="D48" s="21" t="n">
        <v>65</v>
      </c>
      <c r="E48" s="21" t="n">
        <v>65</v>
      </c>
      <c r="F48" s="20" t="s">
        <v>101</v>
      </c>
      <c r="G48" s="20" t="s">
        <v>101</v>
      </c>
      <c r="H48" s="22"/>
      <c r="I48" s="23" t="n">
        <f aca="false">IF(AND($K48="Y",$F48&lt;&gt;"Y",OR($T48="",$T48=Summary!$C$11)),$C48*IF($H48&lt;&gt;"",$H48,($D48+$E48)/2)*INDEX(Summary!$C$6:$C$8,MATCH($P48,Summary!$B$6:$B$8,0)),0)</f>
        <v>0</v>
      </c>
      <c r="J48" s="20" t="s">
        <v>207</v>
      </c>
      <c r="K48" s="20" t="s">
        <v>101</v>
      </c>
      <c r="L48" s="24" t="s">
        <v>24</v>
      </c>
      <c r="M48" s="24" t="s">
        <v>230</v>
      </c>
      <c r="N48" s="19"/>
      <c r="O48" s="18" t="s">
        <v>106</v>
      </c>
      <c r="P48" s="20" t="s">
        <v>6</v>
      </c>
      <c r="Q48" s="18" t="s">
        <v>44</v>
      </c>
      <c r="R48" s="24" t="s">
        <v>263</v>
      </c>
      <c r="S48" s="18" t="s">
        <v>40</v>
      </c>
      <c r="T48" s="18" t="s">
        <v>15</v>
      </c>
      <c r="U48" s="25" t="n">
        <f aca="false">IF(AND($K48="Y",$F48&lt;&gt;"Y",OR($T48="",$T48=Summary!$C$11)),$C48*IF($H48&lt;&gt;"",$H48,$D48)*INDEX(Summary!$C$6:$C$8,MATCH($P48,Summary!$B$6:$B$8,0)),0)</f>
        <v>0</v>
      </c>
      <c r="V48" s="25" t="n">
        <f aca="false">IF(AND($K48="Y",$F48&lt;&gt;"Y",OR($T48="",$T48=Summary!$C$11)),$C48*IF($H48&lt;&gt;"",$H48,$E48)*INDEX(Summary!$C$6:$C$8,MATCH($P48,Summary!$B$6:$B$8,0)),0)</f>
        <v>0</v>
      </c>
      <c r="W48" s="18" t="s">
        <v>219</v>
      </c>
      <c r="X48" s="26" t="s">
        <v>267</v>
      </c>
    </row>
    <row r="49" customFormat="false" ht="30" hidden="false" customHeight="true" outlineLevel="0" collapsed="false">
      <c r="A49" s="18" t="s">
        <v>268</v>
      </c>
      <c r="B49" s="19" t="s">
        <v>269</v>
      </c>
      <c r="C49" s="20" t="n">
        <v>1</v>
      </c>
      <c r="D49" s="21" t="n">
        <v>570</v>
      </c>
      <c r="E49" s="21" t="n">
        <v>1030</v>
      </c>
      <c r="F49" s="20" t="s">
        <v>101</v>
      </c>
      <c r="G49" s="20" t="s">
        <v>101</v>
      </c>
      <c r="H49" s="22"/>
      <c r="I49" s="23" t="n">
        <f aca="false">IF(AND($K49="Y",$F49&lt;&gt;"Y",OR($T49="",$T49=Summary!$C$11)),$C49*IF($H49&lt;&gt;"",$H49,($D49+$E49)/2)*INDEX(Summary!$C$6:$C$8,MATCH($P49,Summary!$B$6:$B$8,0)),0)</f>
        <v>800</v>
      </c>
      <c r="J49" s="20" t="s">
        <v>102</v>
      </c>
      <c r="K49" s="20" t="s">
        <v>103</v>
      </c>
      <c r="L49" s="24" t="s">
        <v>24</v>
      </c>
      <c r="M49" s="24" t="s">
        <v>270</v>
      </c>
      <c r="N49" s="19" t="s">
        <v>271</v>
      </c>
      <c r="O49" s="18" t="s">
        <v>160</v>
      </c>
      <c r="P49" s="20" t="s">
        <v>6</v>
      </c>
      <c r="Q49" s="18" t="s">
        <v>44</v>
      </c>
      <c r="R49" s="24" t="s">
        <v>272</v>
      </c>
      <c r="S49" s="18" t="s">
        <v>40</v>
      </c>
      <c r="T49" s="18" t="s">
        <v>15</v>
      </c>
      <c r="U49" s="25" t="n">
        <f aca="false">IF(AND($K49="Y",$F49&lt;&gt;"Y",OR($T49="",$T49=Summary!$C$11)),$C49*IF($H49&lt;&gt;"",$H49,$D49)*INDEX(Summary!$C$6:$C$8,MATCH($P49,Summary!$B$6:$B$8,0)),0)</f>
        <v>570</v>
      </c>
      <c r="V49" s="25" t="n">
        <f aca="false">IF(AND($K49="Y",$F49&lt;&gt;"Y",OR($T49="",$T49=Summary!$C$11)),$C49*IF($H49&lt;&gt;"",$H49,$E49)*INDEX(Summary!$C$6:$C$8,MATCH($P49,Summary!$B$6:$B$8,0)),0)</f>
        <v>1030</v>
      </c>
      <c r="W49" s="18" t="s">
        <v>219</v>
      </c>
      <c r="X49" s="26" t="s">
        <v>273</v>
      </c>
    </row>
    <row r="50" customFormat="false" ht="30" hidden="false" customHeight="true" outlineLevel="0" collapsed="false">
      <c r="A50" s="18" t="s">
        <v>274</v>
      </c>
      <c r="B50" s="19" t="s">
        <v>275</v>
      </c>
      <c r="C50" s="20" t="n">
        <v>6</v>
      </c>
      <c r="D50" s="21" t="n">
        <v>4</v>
      </c>
      <c r="E50" s="21" t="n">
        <v>9</v>
      </c>
      <c r="F50" s="20" t="s">
        <v>101</v>
      </c>
      <c r="G50" s="20" t="s">
        <v>101</v>
      </c>
      <c r="H50" s="22"/>
      <c r="I50" s="23" t="n">
        <f aca="false">IF(AND($K50="Y",$F50&lt;&gt;"Y",OR($T50="",$T50=Summary!$C$11)),$C50*IF($H50&lt;&gt;"",$H50,($D50+$E50)/2)*INDEX(Summary!$C$6:$C$8,MATCH($P50,Summary!$B$6:$B$8,0)),0)</f>
        <v>39</v>
      </c>
      <c r="J50" s="20" t="s">
        <v>157</v>
      </c>
      <c r="K50" s="20" t="s">
        <v>103</v>
      </c>
      <c r="L50" s="24" t="s">
        <v>24</v>
      </c>
      <c r="M50" s="24" t="s">
        <v>270</v>
      </c>
      <c r="N50" s="19"/>
      <c r="O50" s="18" t="s">
        <v>106</v>
      </c>
      <c r="P50" s="20" t="s">
        <v>6</v>
      </c>
      <c r="Q50" s="18" t="s">
        <v>44</v>
      </c>
      <c r="R50" s="24" t="s">
        <v>193</v>
      </c>
      <c r="S50" s="18" t="s">
        <v>40</v>
      </c>
      <c r="T50" s="18" t="s">
        <v>15</v>
      </c>
      <c r="U50" s="25" t="n">
        <f aca="false">IF(AND($K50="Y",$F50&lt;&gt;"Y",OR($T50="",$T50=Summary!$C$11)),$C50*IF($H50&lt;&gt;"",$H50,$D50)*INDEX(Summary!$C$6:$C$8,MATCH($P50,Summary!$B$6:$B$8,0)),0)</f>
        <v>24</v>
      </c>
      <c r="V50" s="25" t="n">
        <f aca="false">IF(AND($K50="Y",$F50&lt;&gt;"Y",OR($T50="",$T50=Summary!$C$11)),$C50*IF($H50&lt;&gt;"",$H50,$E50)*INDEX(Summary!$C$6:$C$8,MATCH($P50,Summary!$B$6:$B$8,0)),0)</f>
        <v>54</v>
      </c>
      <c r="W50" s="18" t="s">
        <v>118</v>
      </c>
      <c r="X50" s="24"/>
    </row>
    <row r="51" customFormat="false" ht="30" hidden="false" customHeight="true" outlineLevel="0" collapsed="false">
      <c r="A51" s="18" t="s">
        <v>276</v>
      </c>
      <c r="B51" s="19" t="s">
        <v>277</v>
      </c>
      <c r="C51" s="20" t="n">
        <v>6</v>
      </c>
      <c r="D51" s="21" t="n">
        <v>1</v>
      </c>
      <c r="E51" s="21" t="n">
        <v>4</v>
      </c>
      <c r="F51" s="20" t="s">
        <v>101</v>
      </c>
      <c r="G51" s="20" t="s">
        <v>101</v>
      </c>
      <c r="H51" s="22"/>
      <c r="I51" s="23" t="n">
        <f aca="false">IF(AND($K51="Y",$F51&lt;&gt;"Y",OR($T51="",$T51=Summary!$C$11)),$C51*IF($H51&lt;&gt;"",$H51,($D51+$E51)/2)*INDEX(Summary!$C$6:$C$8,MATCH($P51,Summary!$B$6:$B$8,0)),0)</f>
        <v>15</v>
      </c>
      <c r="J51" s="20" t="s">
        <v>157</v>
      </c>
      <c r="K51" s="20" t="s">
        <v>103</v>
      </c>
      <c r="L51" s="24" t="s">
        <v>24</v>
      </c>
      <c r="M51" s="24" t="s">
        <v>270</v>
      </c>
      <c r="N51" s="19"/>
      <c r="O51" s="18" t="s">
        <v>106</v>
      </c>
      <c r="P51" s="20" t="s">
        <v>6</v>
      </c>
      <c r="Q51" s="18" t="s">
        <v>44</v>
      </c>
      <c r="R51" s="24" t="s">
        <v>193</v>
      </c>
      <c r="S51" s="18" t="s">
        <v>40</v>
      </c>
      <c r="T51" s="18" t="s">
        <v>15</v>
      </c>
      <c r="U51" s="25" t="n">
        <f aca="false">IF(AND($K51="Y",$F51&lt;&gt;"Y",OR($T51="",$T51=Summary!$C$11)),$C51*IF($H51&lt;&gt;"",$H51,$D51)*INDEX(Summary!$C$6:$C$8,MATCH($P51,Summary!$B$6:$B$8,0)),0)</f>
        <v>6</v>
      </c>
      <c r="V51" s="25" t="n">
        <f aca="false">IF(AND($K51="Y",$F51&lt;&gt;"Y",OR($T51="",$T51=Summary!$C$11)),$C51*IF($H51&lt;&gt;"",$H51,$E51)*INDEX(Summary!$C$6:$C$8,MATCH($P51,Summary!$B$6:$B$8,0)),0)</f>
        <v>24</v>
      </c>
      <c r="W51" s="18" t="s">
        <v>118</v>
      </c>
      <c r="X51" s="24"/>
    </row>
    <row r="52" customFormat="false" ht="30" hidden="false" customHeight="true" outlineLevel="0" collapsed="false">
      <c r="A52" s="18" t="s">
        <v>278</v>
      </c>
      <c r="B52" s="19" t="s">
        <v>279</v>
      </c>
      <c r="C52" s="20" t="n">
        <v>1</v>
      </c>
      <c r="D52" s="21" t="n">
        <v>110</v>
      </c>
      <c r="E52" s="21" t="n">
        <v>280</v>
      </c>
      <c r="F52" s="20" t="s">
        <v>101</v>
      </c>
      <c r="G52" s="20" t="s">
        <v>101</v>
      </c>
      <c r="H52" s="22"/>
      <c r="I52" s="23" t="n">
        <f aca="false">IF(AND($K52="Y",$F52&lt;&gt;"Y",OR($T52="",$T52=Summary!$C$11)),$C52*IF($H52&lt;&gt;"",$H52,($D52+$E52)/2)*INDEX(Summary!$C$6:$C$8,MATCH($P52,Summary!$B$6:$B$8,0)),0)</f>
        <v>195</v>
      </c>
      <c r="J52" s="20" t="s">
        <v>102</v>
      </c>
      <c r="K52" s="20" t="s">
        <v>103</v>
      </c>
      <c r="L52" s="24" t="s">
        <v>24</v>
      </c>
      <c r="M52" s="24" t="s">
        <v>270</v>
      </c>
      <c r="N52" s="19" t="s">
        <v>280</v>
      </c>
      <c r="O52" s="18" t="s">
        <v>106</v>
      </c>
      <c r="P52" s="20" t="s">
        <v>6</v>
      </c>
      <c r="Q52" s="18" t="s">
        <v>44</v>
      </c>
      <c r="R52" s="24" t="s">
        <v>281</v>
      </c>
      <c r="S52" s="18" t="s">
        <v>40</v>
      </c>
      <c r="T52" s="18" t="s">
        <v>15</v>
      </c>
      <c r="U52" s="25" t="n">
        <f aca="false">IF(AND($K52="Y",$F52&lt;&gt;"Y",OR($T52="",$T52=Summary!$C$11)),$C52*IF($H52&lt;&gt;"",$H52,$D52)*INDEX(Summary!$C$6:$C$8,MATCH($P52,Summary!$B$6:$B$8,0)),0)</f>
        <v>110</v>
      </c>
      <c r="V52" s="25" t="n">
        <f aca="false">IF(AND($K52="Y",$F52&lt;&gt;"Y",OR($T52="",$T52=Summary!$C$11)),$C52*IF($H52&lt;&gt;"",$H52,$E52)*INDEX(Summary!$C$6:$C$8,MATCH($P52,Summary!$B$6:$B$8,0)),0)</f>
        <v>280</v>
      </c>
      <c r="W52" s="18" t="s">
        <v>118</v>
      </c>
      <c r="X52" s="26" t="s">
        <v>282</v>
      </c>
    </row>
    <row r="53" customFormat="false" ht="30" hidden="false" customHeight="true" outlineLevel="0" collapsed="false">
      <c r="A53" s="18" t="s">
        <v>283</v>
      </c>
      <c r="B53" s="19" t="s">
        <v>284</v>
      </c>
      <c r="C53" s="20" t="n">
        <v>1</v>
      </c>
      <c r="D53" s="21" t="n">
        <v>18</v>
      </c>
      <c r="E53" s="21" t="n">
        <v>18</v>
      </c>
      <c r="F53" s="20" t="s">
        <v>101</v>
      </c>
      <c r="G53" s="20" t="s">
        <v>101</v>
      </c>
      <c r="H53" s="22"/>
      <c r="I53" s="23" t="n">
        <f aca="false">IF(AND($K53="Y",$F53&lt;&gt;"Y",OR($T53="",$T53=Summary!$C$11)),$C53*IF($H53&lt;&gt;"",$H53,($D53+$E53)/2)*INDEX(Summary!$C$6:$C$8,MATCH($P53,Summary!$B$6:$B$8,0)),0)</f>
        <v>18</v>
      </c>
      <c r="J53" s="20" t="s">
        <v>102</v>
      </c>
      <c r="K53" s="20" t="s">
        <v>103</v>
      </c>
      <c r="L53" s="24" t="s">
        <v>24</v>
      </c>
      <c r="M53" s="24" t="s">
        <v>270</v>
      </c>
      <c r="N53" s="19" t="s">
        <v>285</v>
      </c>
      <c r="O53" s="18" t="s">
        <v>106</v>
      </c>
      <c r="P53" s="20" t="s">
        <v>6</v>
      </c>
      <c r="Q53" s="18" t="s">
        <v>44</v>
      </c>
      <c r="R53" s="24" t="s">
        <v>286</v>
      </c>
      <c r="S53" s="18" t="s">
        <v>40</v>
      </c>
      <c r="T53" s="18" t="s">
        <v>15</v>
      </c>
      <c r="U53" s="25" t="n">
        <f aca="false">IF(AND($K53="Y",$F53&lt;&gt;"Y",OR($T53="",$T53=Summary!$C$11)),$C53*IF($H53&lt;&gt;"",$H53,$D53)*INDEX(Summary!$C$6:$C$8,MATCH($P53,Summary!$B$6:$B$8,0)),0)</f>
        <v>18</v>
      </c>
      <c r="V53" s="25" t="n">
        <f aca="false">IF(AND($K53="Y",$F53&lt;&gt;"Y",OR($T53="",$T53=Summary!$C$11)),$C53*IF($H53&lt;&gt;"",$H53,$E53)*INDEX(Summary!$C$6:$C$8,MATCH($P53,Summary!$B$6:$B$8,0)),0)</f>
        <v>18</v>
      </c>
      <c r="W53" s="18" t="s">
        <v>219</v>
      </c>
      <c r="X53" s="26" t="s">
        <v>287</v>
      </c>
    </row>
    <row r="54" customFormat="false" ht="30" hidden="false" customHeight="true" outlineLevel="0" collapsed="false">
      <c r="A54" s="18" t="s">
        <v>288</v>
      </c>
      <c r="B54" s="19" t="s">
        <v>289</v>
      </c>
      <c r="C54" s="20" t="n">
        <v>1</v>
      </c>
      <c r="D54" s="21" t="n">
        <v>0</v>
      </c>
      <c r="E54" s="21" t="n">
        <v>5</v>
      </c>
      <c r="F54" s="20" t="s">
        <v>101</v>
      </c>
      <c r="G54" s="20" t="s">
        <v>103</v>
      </c>
      <c r="H54" s="22"/>
      <c r="I54" s="23" t="n">
        <f aca="false">IF(AND($K54="Y",$F54&lt;&gt;"Y",OR($T54="",$T54=Summary!$C$11)),$C54*IF($H54&lt;&gt;"",$H54,($D54+$E54)/2)*INDEX(Summary!$C$6:$C$8,MATCH($P54,Summary!$B$6:$B$8,0)),0)</f>
        <v>2.5</v>
      </c>
      <c r="J54" s="20" t="s">
        <v>102</v>
      </c>
      <c r="K54" s="20" t="s">
        <v>103</v>
      </c>
      <c r="L54" s="24" t="s">
        <v>24</v>
      </c>
      <c r="M54" s="24" t="s">
        <v>270</v>
      </c>
      <c r="N54" s="19"/>
      <c r="O54" s="18" t="s">
        <v>106</v>
      </c>
      <c r="P54" s="20" t="s">
        <v>6</v>
      </c>
      <c r="Q54" s="18" t="s">
        <v>45</v>
      </c>
      <c r="R54" s="24" t="s">
        <v>290</v>
      </c>
      <c r="S54" s="18" t="s">
        <v>40</v>
      </c>
      <c r="T54" s="18" t="s">
        <v>15</v>
      </c>
      <c r="U54" s="25" t="n">
        <f aca="false">IF(AND($K54="Y",$F54&lt;&gt;"Y",OR($T54="",$T54=Summary!$C$11)),$C54*IF($H54&lt;&gt;"",$H54,$D54)*INDEX(Summary!$C$6:$C$8,MATCH($P54,Summary!$B$6:$B$8,0)),0)</f>
        <v>0</v>
      </c>
      <c r="V54" s="25" t="n">
        <f aca="false">IF(AND($K54="Y",$F54&lt;&gt;"Y",OR($T54="",$T54=Summary!$C$11)),$C54*IF($H54&lt;&gt;"",$H54,$E54)*INDEX(Summary!$C$6:$C$8,MATCH($P54,Summary!$B$6:$B$8,0)),0)</f>
        <v>5</v>
      </c>
      <c r="W54" s="18" t="s">
        <v>118</v>
      </c>
      <c r="X54" s="24"/>
    </row>
    <row r="55" customFormat="false" ht="30" hidden="false" customHeight="true" outlineLevel="0" collapsed="false">
      <c r="A55" s="18" t="s">
        <v>291</v>
      </c>
      <c r="B55" s="19" t="s">
        <v>292</v>
      </c>
      <c r="C55" s="20" t="n">
        <v>1</v>
      </c>
      <c r="D55" s="21" t="n">
        <v>0</v>
      </c>
      <c r="E55" s="21" t="n">
        <v>120</v>
      </c>
      <c r="F55" s="20" t="s">
        <v>101</v>
      </c>
      <c r="G55" s="20" t="s">
        <v>101</v>
      </c>
      <c r="H55" s="22"/>
      <c r="I55" s="23" t="n">
        <f aca="false">IF(AND($K55="Y",$F55&lt;&gt;"Y",OR($T55="",$T55=Summary!$C$11)),$C55*IF($H55&lt;&gt;"",$H55,($D55+$E55)/2)*INDEX(Summary!$C$6:$C$8,MATCH($P55,Summary!$B$6:$B$8,0)),0)</f>
        <v>0</v>
      </c>
      <c r="J55" s="20" t="s">
        <v>126</v>
      </c>
      <c r="K55" s="20" t="s">
        <v>101</v>
      </c>
      <c r="L55" s="24" t="s">
        <v>24</v>
      </c>
      <c r="M55" s="24" t="s">
        <v>270</v>
      </c>
      <c r="N55" s="19" t="s">
        <v>293</v>
      </c>
      <c r="O55" s="18" t="s">
        <v>106</v>
      </c>
      <c r="P55" s="20" t="s">
        <v>6</v>
      </c>
      <c r="Q55" s="18" t="s">
        <v>44</v>
      </c>
      <c r="R55" s="24" t="s">
        <v>294</v>
      </c>
      <c r="S55" s="18" t="s">
        <v>40</v>
      </c>
      <c r="T55" s="18" t="s">
        <v>15</v>
      </c>
      <c r="U55" s="25" t="n">
        <f aca="false">IF(AND($K55="Y",$F55&lt;&gt;"Y",OR($T55="",$T55=Summary!$C$11)),$C55*IF($H55&lt;&gt;"",$H55,$D55)*INDEX(Summary!$C$6:$C$8,MATCH($P55,Summary!$B$6:$B$8,0)),0)</f>
        <v>0</v>
      </c>
      <c r="V55" s="25" t="n">
        <f aca="false">IF(AND($K55="Y",$F55&lt;&gt;"Y",OR($T55="",$T55=Summary!$C$11)),$C55*IF($H55&lt;&gt;"",$H55,$E55)*INDEX(Summary!$C$6:$C$8,MATCH($P55,Summary!$B$6:$B$8,0)),0)</f>
        <v>0</v>
      </c>
      <c r="W55" s="18" t="s">
        <v>118</v>
      </c>
      <c r="X55" s="24"/>
    </row>
    <row r="56" customFormat="false" ht="30" hidden="false" customHeight="true" outlineLevel="0" collapsed="false">
      <c r="A56" s="18" t="s">
        <v>295</v>
      </c>
      <c r="B56" s="19" t="s">
        <v>296</v>
      </c>
      <c r="C56" s="20" t="n">
        <v>1</v>
      </c>
      <c r="D56" s="21" t="n">
        <v>75</v>
      </c>
      <c r="E56" s="21" t="n">
        <v>270</v>
      </c>
      <c r="F56" s="20" t="s">
        <v>101</v>
      </c>
      <c r="G56" s="20" t="s">
        <v>101</v>
      </c>
      <c r="H56" s="22"/>
      <c r="I56" s="23" t="n">
        <f aca="false">IF(AND($K56="Y",$F56&lt;&gt;"Y",OR($T56="",$T56=Summary!$C$11)),$C56*IF($H56&lt;&gt;"",$H56,($D56+$E56)/2)*INDEX(Summary!$C$6:$C$8,MATCH($P56,Summary!$B$6:$B$8,0)),0)</f>
        <v>172.5</v>
      </c>
      <c r="J56" s="20" t="s">
        <v>102</v>
      </c>
      <c r="K56" s="20" t="s">
        <v>103</v>
      </c>
      <c r="L56" s="24" t="s">
        <v>24</v>
      </c>
      <c r="M56" s="24" t="s">
        <v>297</v>
      </c>
      <c r="N56" s="19" t="s">
        <v>298</v>
      </c>
      <c r="O56" s="18" t="s">
        <v>106</v>
      </c>
      <c r="P56" s="20" t="s">
        <v>6</v>
      </c>
      <c r="Q56" s="18" t="s">
        <v>44</v>
      </c>
      <c r="R56" s="24" t="s">
        <v>299</v>
      </c>
      <c r="S56" s="18" t="s">
        <v>40</v>
      </c>
      <c r="T56" s="18" t="s">
        <v>15</v>
      </c>
      <c r="U56" s="25" t="n">
        <f aca="false">IF(AND($K56="Y",$F56&lt;&gt;"Y",OR($T56="",$T56=Summary!$C$11)),$C56*IF($H56&lt;&gt;"",$H56,$D56)*INDEX(Summary!$C$6:$C$8,MATCH($P56,Summary!$B$6:$B$8,0)),0)</f>
        <v>75</v>
      </c>
      <c r="V56" s="25" t="n">
        <f aca="false">IF(AND($K56="Y",$F56&lt;&gt;"Y",OR($T56="",$T56=Summary!$C$11)),$C56*IF($H56&lt;&gt;"",$H56,$E56)*INDEX(Summary!$C$6:$C$8,MATCH($P56,Summary!$B$6:$B$8,0)),0)</f>
        <v>270</v>
      </c>
      <c r="W56" s="18" t="s">
        <v>219</v>
      </c>
      <c r="X56" s="26" t="s">
        <v>300</v>
      </c>
    </row>
    <row r="57" customFormat="false" ht="30" hidden="false" customHeight="true" outlineLevel="0" collapsed="false">
      <c r="A57" s="18" t="s">
        <v>301</v>
      </c>
      <c r="B57" s="19" t="s">
        <v>302</v>
      </c>
      <c r="C57" s="20" t="n">
        <v>2</v>
      </c>
      <c r="D57" s="21" t="n">
        <v>3</v>
      </c>
      <c r="E57" s="21" t="n">
        <v>7</v>
      </c>
      <c r="F57" s="20" t="s">
        <v>101</v>
      </c>
      <c r="G57" s="20" t="s">
        <v>101</v>
      </c>
      <c r="H57" s="22"/>
      <c r="I57" s="23" t="n">
        <f aca="false">IF(AND($K57="Y",$F57&lt;&gt;"Y",OR($T57="",$T57=Summary!$C$11)),$C57*IF($H57&lt;&gt;"",$H57,($D57+$E57)/2)*INDEX(Summary!$C$6:$C$8,MATCH($P57,Summary!$B$6:$B$8,0)),0)</f>
        <v>10</v>
      </c>
      <c r="J57" s="20" t="s">
        <v>102</v>
      </c>
      <c r="K57" s="20" t="s">
        <v>103</v>
      </c>
      <c r="L57" s="24" t="s">
        <v>24</v>
      </c>
      <c r="M57" s="24" t="s">
        <v>297</v>
      </c>
      <c r="N57" s="19"/>
      <c r="O57" s="18" t="s">
        <v>106</v>
      </c>
      <c r="P57" s="20" t="s">
        <v>6</v>
      </c>
      <c r="Q57" s="18" t="s">
        <v>44</v>
      </c>
      <c r="R57" s="24" t="s">
        <v>303</v>
      </c>
      <c r="S57" s="18" t="s">
        <v>40</v>
      </c>
      <c r="T57" s="18" t="s">
        <v>15</v>
      </c>
      <c r="U57" s="25" t="n">
        <f aca="false">IF(AND($K57="Y",$F57&lt;&gt;"Y",OR($T57="",$T57=Summary!$C$11)),$C57*IF($H57&lt;&gt;"",$H57,$D57)*INDEX(Summary!$C$6:$C$8,MATCH($P57,Summary!$B$6:$B$8,0)),0)</f>
        <v>6</v>
      </c>
      <c r="V57" s="25" t="n">
        <f aca="false">IF(AND($K57="Y",$F57&lt;&gt;"Y",OR($T57="",$T57=Summary!$C$11)),$C57*IF($H57&lt;&gt;"",$H57,$E57)*INDEX(Summary!$C$6:$C$8,MATCH($P57,Summary!$B$6:$B$8,0)),0)</f>
        <v>14</v>
      </c>
      <c r="W57" s="18" t="s">
        <v>118</v>
      </c>
      <c r="X57" s="24"/>
    </row>
    <row r="58" customFormat="false" ht="30" hidden="false" customHeight="true" outlineLevel="0" collapsed="false">
      <c r="A58" s="18" t="s">
        <v>304</v>
      </c>
      <c r="B58" s="19" t="s">
        <v>305</v>
      </c>
      <c r="C58" s="20" t="n">
        <v>1</v>
      </c>
      <c r="D58" s="21" t="n">
        <v>35</v>
      </c>
      <c r="E58" s="21" t="n">
        <v>85</v>
      </c>
      <c r="F58" s="20" t="s">
        <v>101</v>
      </c>
      <c r="G58" s="20" t="s">
        <v>101</v>
      </c>
      <c r="H58" s="22"/>
      <c r="I58" s="23" t="n">
        <f aca="false">IF(AND($K58="Y",$F58&lt;&gt;"Y",OR($T58="",$T58=Summary!$C$11)),$C58*IF($H58&lt;&gt;"",$H58,($D58+$E58)/2)*INDEX(Summary!$C$6:$C$8,MATCH($P58,Summary!$B$6:$B$8,0)),0)</f>
        <v>60</v>
      </c>
      <c r="J58" s="20" t="s">
        <v>102</v>
      </c>
      <c r="K58" s="20" t="s">
        <v>103</v>
      </c>
      <c r="L58" s="24" t="s">
        <v>24</v>
      </c>
      <c r="M58" s="24" t="s">
        <v>297</v>
      </c>
      <c r="N58" s="19" t="s">
        <v>306</v>
      </c>
      <c r="O58" s="18" t="s">
        <v>212</v>
      </c>
      <c r="P58" s="20" t="s">
        <v>6</v>
      </c>
      <c r="Q58" s="18" t="s">
        <v>44</v>
      </c>
      <c r="R58" s="24" t="s">
        <v>150</v>
      </c>
      <c r="S58" s="18" t="s">
        <v>40</v>
      </c>
      <c r="T58" s="18" t="s">
        <v>15</v>
      </c>
      <c r="U58" s="25" t="n">
        <f aca="false">IF(AND($K58="Y",$F58&lt;&gt;"Y",OR($T58="",$T58=Summary!$C$11)),$C58*IF($H58&lt;&gt;"",$H58,$D58)*INDEX(Summary!$C$6:$C$8,MATCH($P58,Summary!$B$6:$B$8,0)),0)</f>
        <v>35</v>
      </c>
      <c r="V58" s="25" t="n">
        <f aca="false">IF(AND($K58="Y",$F58&lt;&gt;"Y",OR($T58="",$T58=Summary!$C$11)),$C58*IF($H58&lt;&gt;"",$H58,$E58)*INDEX(Summary!$C$6:$C$8,MATCH($P58,Summary!$B$6:$B$8,0)),0)</f>
        <v>85</v>
      </c>
      <c r="W58" s="18" t="s">
        <v>118</v>
      </c>
      <c r="X58" s="24"/>
    </row>
    <row r="59" customFormat="false" ht="30" hidden="false" customHeight="true" outlineLevel="0" collapsed="false">
      <c r="A59" s="18" t="s">
        <v>307</v>
      </c>
      <c r="B59" s="19" t="s">
        <v>308</v>
      </c>
      <c r="C59" s="20" t="n">
        <v>1</v>
      </c>
      <c r="D59" s="21" t="n">
        <v>115</v>
      </c>
      <c r="E59" s="21" t="n">
        <v>655</v>
      </c>
      <c r="F59" s="20" t="s">
        <v>101</v>
      </c>
      <c r="G59" s="20" t="s">
        <v>101</v>
      </c>
      <c r="H59" s="22"/>
      <c r="I59" s="23" t="n">
        <f aca="false">IF(AND($K59="Y",$F59&lt;&gt;"Y",OR($T59="",$T59=Summary!$C$11)),$C59*IF($H59&lt;&gt;"",$H59,($D59+$E59)/2)*INDEX(Summary!$C$6:$C$8,MATCH($P59,Summary!$B$6:$B$8,0)),0)</f>
        <v>385</v>
      </c>
      <c r="J59" s="20" t="s">
        <v>157</v>
      </c>
      <c r="K59" s="20" t="s">
        <v>103</v>
      </c>
      <c r="L59" s="24" t="s">
        <v>24</v>
      </c>
      <c r="M59" s="24" t="s">
        <v>309</v>
      </c>
      <c r="N59" s="19" t="s">
        <v>310</v>
      </c>
      <c r="O59" s="18" t="s">
        <v>106</v>
      </c>
      <c r="P59" s="20" t="s">
        <v>6</v>
      </c>
      <c r="Q59" s="18" t="s">
        <v>44</v>
      </c>
      <c r="R59" s="24" t="s">
        <v>311</v>
      </c>
      <c r="S59" s="18" t="s">
        <v>40</v>
      </c>
      <c r="T59" s="18" t="s">
        <v>15</v>
      </c>
      <c r="U59" s="25" t="n">
        <f aca="false">IF(AND($K59="Y",$F59&lt;&gt;"Y",OR($T59="",$T59=Summary!$C$11)),$C59*IF($H59&lt;&gt;"",$H59,$D59)*INDEX(Summary!$C$6:$C$8,MATCH($P59,Summary!$B$6:$B$8,0)),0)</f>
        <v>115</v>
      </c>
      <c r="V59" s="25" t="n">
        <f aca="false">IF(AND($K59="Y",$F59&lt;&gt;"Y",OR($T59="",$T59=Summary!$C$11)),$C59*IF($H59&lt;&gt;"",$H59,$E59)*INDEX(Summary!$C$6:$C$8,MATCH($P59,Summary!$B$6:$B$8,0)),0)</f>
        <v>655</v>
      </c>
      <c r="W59" s="18" t="s">
        <v>118</v>
      </c>
      <c r="X59" s="26" t="s">
        <v>312</v>
      </c>
    </row>
    <row r="60" customFormat="false" ht="30" hidden="false" customHeight="true" outlineLevel="0" collapsed="false">
      <c r="A60" s="18" t="s">
        <v>313</v>
      </c>
      <c r="B60" s="19" t="s">
        <v>314</v>
      </c>
      <c r="C60" s="20" t="n">
        <v>1</v>
      </c>
      <c r="D60" s="21" t="n">
        <v>45</v>
      </c>
      <c r="E60" s="21" t="n">
        <v>85</v>
      </c>
      <c r="F60" s="20" t="s">
        <v>101</v>
      </c>
      <c r="G60" s="20" t="s">
        <v>103</v>
      </c>
      <c r="H60" s="22"/>
      <c r="I60" s="23" t="n">
        <f aca="false">IF(AND($K60="Y",$F60&lt;&gt;"Y",OR($T60="",$T60=Summary!$C$11)),$C60*IF($H60&lt;&gt;"",$H60,($D60+$E60)/2)*INDEX(Summary!$C$6:$C$8,MATCH($P60,Summary!$B$6:$B$8,0)),0)</f>
        <v>65</v>
      </c>
      <c r="J60" s="20" t="s">
        <v>102</v>
      </c>
      <c r="K60" s="20" t="s">
        <v>103</v>
      </c>
      <c r="L60" s="24" t="s">
        <v>24</v>
      </c>
      <c r="M60" s="24" t="s">
        <v>309</v>
      </c>
      <c r="N60" s="19" t="s">
        <v>315</v>
      </c>
      <c r="O60" s="18" t="s">
        <v>106</v>
      </c>
      <c r="P60" s="20" t="s">
        <v>6</v>
      </c>
      <c r="Q60" s="18" t="s">
        <v>45</v>
      </c>
      <c r="R60" s="24" t="s">
        <v>316</v>
      </c>
      <c r="S60" s="18" t="s">
        <v>40</v>
      </c>
      <c r="T60" s="18" t="s">
        <v>15</v>
      </c>
      <c r="U60" s="25" t="n">
        <f aca="false">IF(AND($K60="Y",$F60&lt;&gt;"Y",OR($T60="",$T60=Summary!$C$11)),$C60*IF($H60&lt;&gt;"",$H60,$D60)*INDEX(Summary!$C$6:$C$8,MATCH($P60,Summary!$B$6:$B$8,0)),0)</f>
        <v>45</v>
      </c>
      <c r="V60" s="25" t="n">
        <f aca="false">IF(AND($K60="Y",$F60&lt;&gt;"Y",OR($T60="",$T60=Summary!$C$11)),$C60*IF($H60&lt;&gt;"",$H60,$E60)*INDEX(Summary!$C$6:$C$8,MATCH($P60,Summary!$B$6:$B$8,0)),0)</f>
        <v>85</v>
      </c>
      <c r="W60" s="18" t="s">
        <v>118</v>
      </c>
      <c r="X60" s="24"/>
    </row>
    <row r="61" customFormat="false" ht="30" hidden="false" customHeight="true" outlineLevel="0" collapsed="false">
      <c r="A61" s="18" t="s">
        <v>317</v>
      </c>
      <c r="B61" s="19" t="s">
        <v>318</v>
      </c>
      <c r="C61" s="20" t="n">
        <v>1</v>
      </c>
      <c r="D61" s="21" t="n">
        <v>14</v>
      </c>
      <c r="E61" s="21" t="n">
        <v>35</v>
      </c>
      <c r="F61" s="20" t="s">
        <v>101</v>
      </c>
      <c r="G61" s="20" t="s">
        <v>103</v>
      </c>
      <c r="H61" s="22"/>
      <c r="I61" s="23" t="n">
        <f aca="false">IF(AND($K61="Y",$F61&lt;&gt;"Y",OR($T61="",$T61=Summary!$C$11)),$C61*IF($H61&lt;&gt;"",$H61,($D61+$E61)/2)*INDEX(Summary!$C$6:$C$8,MATCH($P61,Summary!$B$6:$B$8,0)),0)</f>
        <v>24.5</v>
      </c>
      <c r="J61" s="20" t="s">
        <v>102</v>
      </c>
      <c r="K61" s="20" t="s">
        <v>103</v>
      </c>
      <c r="L61" s="24" t="s">
        <v>24</v>
      </c>
      <c r="M61" s="24" t="s">
        <v>309</v>
      </c>
      <c r="N61" s="19" t="s">
        <v>319</v>
      </c>
      <c r="O61" s="18" t="s">
        <v>212</v>
      </c>
      <c r="P61" s="20" t="s">
        <v>6</v>
      </c>
      <c r="Q61" s="18" t="s">
        <v>45</v>
      </c>
      <c r="R61" s="24" t="s">
        <v>316</v>
      </c>
      <c r="S61" s="18" t="s">
        <v>40</v>
      </c>
      <c r="T61" s="18" t="s">
        <v>15</v>
      </c>
      <c r="U61" s="25" t="n">
        <f aca="false">IF(AND($K61="Y",$F61&lt;&gt;"Y",OR($T61="",$T61=Summary!$C$11)),$C61*IF($H61&lt;&gt;"",$H61,$D61)*INDEX(Summary!$C$6:$C$8,MATCH($P61,Summary!$B$6:$B$8,0)),0)</f>
        <v>14</v>
      </c>
      <c r="V61" s="25" t="n">
        <f aca="false">IF(AND($K61="Y",$F61&lt;&gt;"Y",OR($T61="",$T61=Summary!$C$11)),$C61*IF($H61&lt;&gt;"",$H61,$E61)*INDEX(Summary!$C$6:$C$8,MATCH($P61,Summary!$B$6:$B$8,0)),0)</f>
        <v>35</v>
      </c>
      <c r="W61" s="18" t="s">
        <v>118</v>
      </c>
      <c r="X61" s="24"/>
    </row>
    <row r="62" customFormat="false" ht="30" hidden="false" customHeight="true" outlineLevel="0" collapsed="false">
      <c r="A62" s="18" t="s">
        <v>320</v>
      </c>
      <c r="B62" s="19" t="s">
        <v>321</v>
      </c>
      <c r="C62" s="20" t="n">
        <v>1</v>
      </c>
      <c r="D62" s="21" t="n">
        <v>425</v>
      </c>
      <c r="E62" s="21" t="n">
        <v>425</v>
      </c>
      <c r="F62" s="20" t="s">
        <v>101</v>
      </c>
      <c r="G62" s="20" t="s">
        <v>101</v>
      </c>
      <c r="H62" s="22"/>
      <c r="I62" s="23" t="n">
        <f aca="false">IF(AND($K62="Y",$F62&lt;&gt;"Y",OR($T62="",$T62=Summary!$C$11)),$C62*IF($H62&lt;&gt;"",$H62,($D62+$E62)/2)*INDEX(Summary!$C$6:$C$8,MATCH($P62,Summary!$B$6:$B$8,0)),0)</f>
        <v>0</v>
      </c>
      <c r="J62" s="20" t="s">
        <v>207</v>
      </c>
      <c r="K62" s="20" t="s">
        <v>101</v>
      </c>
      <c r="L62" s="24" t="s">
        <v>24</v>
      </c>
      <c r="M62" s="24" t="s">
        <v>309</v>
      </c>
      <c r="N62" s="19" t="s">
        <v>322</v>
      </c>
      <c r="O62" s="18" t="s">
        <v>106</v>
      </c>
      <c r="P62" s="20" t="s">
        <v>6</v>
      </c>
      <c r="Q62" s="18" t="s">
        <v>44</v>
      </c>
      <c r="R62" s="24" t="s">
        <v>263</v>
      </c>
      <c r="S62" s="18" t="s">
        <v>40</v>
      </c>
      <c r="T62" s="18" t="s">
        <v>15</v>
      </c>
      <c r="U62" s="25" t="n">
        <f aca="false">IF(AND($K62="Y",$F62&lt;&gt;"Y",OR($T62="",$T62=Summary!$C$11)),$C62*IF($H62&lt;&gt;"",$H62,$D62)*INDEX(Summary!$C$6:$C$8,MATCH($P62,Summary!$B$6:$B$8,0)),0)</f>
        <v>0</v>
      </c>
      <c r="V62" s="25" t="n">
        <f aca="false">IF(AND($K62="Y",$F62&lt;&gt;"Y",OR($T62="",$T62=Summary!$C$11)),$C62*IF($H62&lt;&gt;"",$H62,$E62)*INDEX(Summary!$C$6:$C$8,MATCH($P62,Summary!$B$6:$B$8,0)),0)</f>
        <v>0</v>
      </c>
      <c r="W62" s="18" t="s">
        <v>219</v>
      </c>
      <c r="X62" s="26" t="s">
        <v>323</v>
      </c>
    </row>
    <row r="63" customFormat="false" ht="30" hidden="false" customHeight="true" outlineLevel="0" collapsed="false">
      <c r="A63" s="18" t="s">
        <v>324</v>
      </c>
      <c r="B63" s="19" t="s">
        <v>325</v>
      </c>
      <c r="C63" s="20" t="n">
        <v>1</v>
      </c>
      <c r="D63" s="21" t="n">
        <v>35</v>
      </c>
      <c r="E63" s="21" t="n">
        <v>65</v>
      </c>
      <c r="F63" s="20" t="s">
        <v>101</v>
      </c>
      <c r="G63" s="20" t="s">
        <v>101</v>
      </c>
      <c r="H63" s="22"/>
      <c r="I63" s="23" t="n">
        <f aca="false">IF(AND($K63="Y",$F63&lt;&gt;"Y",OR($T63="",$T63=Summary!$C$11)),$C63*IF($H63&lt;&gt;"",$H63,($D63+$E63)/2)*INDEX(Summary!$C$6:$C$8,MATCH($P63,Summary!$B$6:$B$8,0)),0)</f>
        <v>50</v>
      </c>
      <c r="J63" s="20" t="s">
        <v>102</v>
      </c>
      <c r="K63" s="20" t="s">
        <v>103</v>
      </c>
      <c r="L63" s="24" t="s">
        <v>24</v>
      </c>
      <c r="M63" s="24" t="s">
        <v>309</v>
      </c>
      <c r="N63" s="19" t="s">
        <v>326</v>
      </c>
      <c r="O63" s="18" t="s">
        <v>106</v>
      </c>
      <c r="P63" s="20" t="s">
        <v>6</v>
      </c>
      <c r="Q63" s="18" t="s">
        <v>44</v>
      </c>
      <c r="R63" s="24" t="s">
        <v>327</v>
      </c>
      <c r="S63" s="18" t="s">
        <v>40</v>
      </c>
      <c r="T63" s="18" t="s">
        <v>15</v>
      </c>
      <c r="U63" s="25" t="n">
        <f aca="false">IF(AND($K63="Y",$F63&lt;&gt;"Y",OR($T63="",$T63=Summary!$C$11)),$C63*IF($H63&lt;&gt;"",$H63,$D63)*INDEX(Summary!$C$6:$C$8,MATCH($P63,Summary!$B$6:$B$8,0)),0)</f>
        <v>35</v>
      </c>
      <c r="V63" s="25" t="n">
        <f aca="false">IF(AND($K63="Y",$F63&lt;&gt;"Y",OR($T63="",$T63=Summary!$C$11)),$C63*IF($H63&lt;&gt;"",$H63,$E63)*INDEX(Summary!$C$6:$C$8,MATCH($P63,Summary!$B$6:$B$8,0)),0)</f>
        <v>65</v>
      </c>
      <c r="W63" s="18" t="s">
        <v>118</v>
      </c>
      <c r="X63" s="24"/>
    </row>
    <row r="64" customFormat="false" ht="30" hidden="false" customHeight="true" outlineLevel="0" collapsed="false">
      <c r="A64" s="18" t="s">
        <v>328</v>
      </c>
      <c r="B64" s="19" t="s">
        <v>329</v>
      </c>
      <c r="C64" s="20" t="n">
        <v>1</v>
      </c>
      <c r="D64" s="21" t="n">
        <v>30</v>
      </c>
      <c r="E64" s="21" t="n">
        <v>65</v>
      </c>
      <c r="F64" s="20" t="s">
        <v>101</v>
      </c>
      <c r="G64" s="20" t="s">
        <v>101</v>
      </c>
      <c r="H64" s="22"/>
      <c r="I64" s="23" t="n">
        <f aca="false">IF(AND($K64="Y",$F64&lt;&gt;"Y",OR($T64="",$T64=Summary!$C$11)),$C64*IF($H64&lt;&gt;"",$H64,($D64+$E64)/2)*INDEX(Summary!$C$6:$C$8,MATCH($P64,Summary!$B$6:$B$8,0)),0)</f>
        <v>47.5</v>
      </c>
      <c r="J64" s="20" t="s">
        <v>102</v>
      </c>
      <c r="K64" s="20" t="s">
        <v>103</v>
      </c>
      <c r="L64" s="24" t="s">
        <v>24</v>
      </c>
      <c r="M64" s="24" t="s">
        <v>309</v>
      </c>
      <c r="N64" s="19"/>
      <c r="O64" s="18" t="s">
        <v>140</v>
      </c>
      <c r="P64" s="20" t="s">
        <v>6</v>
      </c>
      <c r="Q64" s="18" t="s">
        <v>44</v>
      </c>
      <c r="R64" s="24" t="s">
        <v>327</v>
      </c>
      <c r="S64" s="18" t="s">
        <v>40</v>
      </c>
      <c r="T64" s="18" t="s">
        <v>15</v>
      </c>
      <c r="U64" s="25" t="n">
        <f aca="false">IF(AND($K64="Y",$F64&lt;&gt;"Y",OR($T64="",$T64=Summary!$C$11)),$C64*IF($H64&lt;&gt;"",$H64,$D64)*INDEX(Summary!$C$6:$C$8,MATCH($P64,Summary!$B$6:$B$8,0)),0)</f>
        <v>30</v>
      </c>
      <c r="V64" s="25" t="n">
        <f aca="false">IF(AND($K64="Y",$F64&lt;&gt;"Y",OR($T64="",$T64=Summary!$C$11)),$C64*IF($H64&lt;&gt;"",$H64,$E64)*INDEX(Summary!$C$6:$C$8,MATCH($P64,Summary!$B$6:$B$8,0)),0)</f>
        <v>65</v>
      </c>
      <c r="W64" s="18" t="s">
        <v>118</v>
      </c>
      <c r="X64" s="24"/>
    </row>
    <row r="65" customFormat="false" ht="30" hidden="false" customHeight="true" outlineLevel="0" collapsed="false">
      <c r="A65" s="18" t="s">
        <v>330</v>
      </c>
      <c r="B65" s="19" t="s">
        <v>331</v>
      </c>
      <c r="C65" s="20" t="n">
        <v>1</v>
      </c>
      <c r="D65" s="21" t="n">
        <v>20</v>
      </c>
      <c r="E65" s="21" t="n">
        <v>45</v>
      </c>
      <c r="F65" s="20" t="s">
        <v>101</v>
      </c>
      <c r="G65" s="20" t="s">
        <v>101</v>
      </c>
      <c r="H65" s="22"/>
      <c r="I65" s="23" t="n">
        <f aca="false">IF(AND($K65="Y",$F65&lt;&gt;"Y",OR($T65="",$T65=Summary!$C$11)),$C65*IF($H65&lt;&gt;"",$H65,($D65+$E65)/2)*INDEX(Summary!$C$6:$C$8,MATCH($P65,Summary!$B$6:$B$8,0)),0)</f>
        <v>32.5</v>
      </c>
      <c r="J65" s="20" t="s">
        <v>102</v>
      </c>
      <c r="K65" s="20" t="s">
        <v>103</v>
      </c>
      <c r="L65" s="24" t="s">
        <v>24</v>
      </c>
      <c r="M65" s="24" t="s">
        <v>309</v>
      </c>
      <c r="N65" s="19" t="s">
        <v>332</v>
      </c>
      <c r="O65" s="18" t="s">
        <v>106</v>
      </c>
      <c r="P65" s="20" t="s">
        <v>6</v>
      </c>
      <c r="Q65" s="18" t="s">
        <v>44</v>
      </c>
      <c r="R65" s="24" t="s">
        <v>327</v>
      </c>
      <c r="S65" s="18" t="s">
        <v>40</v>
      </c>
      <c r="T65" s="18" t="s">
        <v>15</v>
      </c>
      <c r="U65" s="25" t="n">
        <f aca="false">IF(AND($K65="Y",$F65&lt;&gt;"Y",OR($T65="",$T65=Summary!$C$11)),$C65*IF($H65&lt;&gt;"",$H65,$D65)*INDEX(Summary!$C$6:$C$8,MATCH($P65,Summary!$B$6:$B$8,0)),0)</f>
        <v>20</v>
      </c>
      <c r="V65" s="25" t="n">
        <f aca="false">IF(AND($K65="Y",$F65&lt;&gt;"Y",OR($T65="",$T65=Summary!$C$11)),$C65*IF($H65&lt;&gt;"",$H65,$E65)*INDEX(Summary!$C$6:$C$8,MATCH($P65,Summary!$B$6:$B$8,0)),0)</f>
        <v>45</v>
      </c>
      <c r="W65" s="18" t="s">
        <v>118</v>
      </c>
      <c r="X65" s="24"/>
    </row>
    <row r="66" customFormat="false" ht="30" hidden="false" customHeight="true" outlineLevel="0" collapsed="false">
      <c r="A66" s="18" t="s">
        <v>333</v>
      </c>
      <c r="B66" s="19" t="s">
        <v>334</v>
      </c>
      <c r="C66" s="20" t="n">
        <v>1</v>
      </c>
      <c r="D66" s="21" t="n">
        <v>0</v>
      </c>
      <c r="E66" s="21" t="n">
        <v>0</v>
      </c>
      <c r="F66" s="20" t="s">
        <v>103</v>
      </c>
      <c r="G66" s="20" t="s">
        <v>101</v>
      </c>
      <c r="H66" s="22"/>
      <c r="I66" s="23" t="n">
        <f aca="false">IF(AND($K66="Y",$F66&lt;&gt;"Y",OR($T66="",$T66=Summary!$C$11)),$C66*IF($H66&lt;&gt;"",$H66,($D66+$E66)/2)*INDEX(Summary!$C$6:$C$8,MATCH($P66,Summary!$B$6:$B$8,0)),0)</f>
        <v>0</v>
      </c>
      <c r="J66" s="20" t="s">
        <v>46</v>
      </c>
      <c r="K66" s="20" t="s">
        <v>103</v>
      </c>
      <c r="L66" s="24" t="s">
        <v>24</v>
      </c>
      <c r="M66" s="24" t="s">
        <v>309</v>
      </c>
      <c r="N66" s="19" t="s">
        <v>335</v>
      </c>
      <c r="O66" s="18" t="s">
        <v>106</v>
      </c>
      <c r="P66" s="20" t="s">
        <v>6</v>
      </c>
      <c r="Q66" s="18" t="s">
        <v>46</v>
      </c>
      <c r="R66" s="24" t="s">
        <v>7</v>
      </c>
      <c r="S66" s="18" t="s">
        <v>40</v>
      </c>
      <c r="T66" s="18" t="s">
        <v>15</v>
      </c>
      <c r="U66" s="25" t="n">
        <f aca="false">IF(AND($K66="Y",$F66&lt;&gt;"Y",OR($T66="",$T66=Summary!$C$11)),$C66*IF($H66&lt;&gt;"",$H66,$D66)*INDEX(Summary!$C$6:$C$8,MATCH($P66,Summary!$B$6:$B$8,0)),0)</f>
        <v>0</v>
      </c>
      <c r="V66" s="25" t="n">
        <f aca="false">IF(AND($K66="Y",$F66&lt;&gt;"Y",OR($T66="",$T66=Summary!$C$11)),$C66*IF($H66&lt;&gt;"",$H66,$E66)*INDEX(Summary!$C$6:$C$8,MATCH($P66,Summary!$B$6:$B$8,0)),0)</f>
        <v>0</v>
      </c>
      <c r="W66" s="18" t="s">
        <v>118</v>
      </c>
      <c r="X66" s="24"/>
    </row>
    <row r="67" customFormat="false" ht="30" hidden="false" customHeight="true" outlineLevel="0" collapsed="false">
      <c r="A67" s="18" t="s">
        <v>336</v>
      </c>
      <c r="B67" s="19" t="s">
        <v>337</v>
      </c>
      <c r="C67" s="20" t="n">
        <v>1</v>
      </c>
      <c r="D67" s="21" t="n">
        <v>85</v>
      </c>
      <c r="E67" s="21" t="n">
        <v>155</v>
      </c>
      <c r="F67" s="20" t="s">
        <v>101</v>
      </c>
      <c r="G67" s="20" t="s">
        <v>101</v>
      </c>
      <c r="H67" s="22"/>
      <c r="I67" s="23" t="n">
        <f aca="false">IF(AND($K67="Y",$F67&lt;&gt;"Y",OR($T67="",$T67=Summary!$C$11)),$C67*IF($H67&lt;&gt;"",$H67,($D67+$E67)/2)*INDEX(Summary!$C$6:$C$8,MATCH($P67,Summary!$B$6:$B$8,0)),0)</f>
        <v>0</v>
      </c>
      <c r="J67" s="20" t="s">
        <v>207</v>
      </c>
      <c r="K67" s="20" t="s">
        <v>101</v>
      </c>
      <c r="L67" s="24" t="s">
        <v>24</v>
      </c>
      <c r="M67" s="24" t="s">
        <v>309</v>
      </c>
      <c r="N67" s="19"/>
      <c r="O67" s="18" t="s">
        <v>106</v>
      </c>
      <c r="P67" s="20" t="s">
        <v>6</v>
      </c>
      <c r="Q67" s="18" t="s">
        <v>44</v>
      </c>
      <c r="R67" s="24" t="s">
        <v>338</v>
      </c>
      <c r="S67" s="18" t="s">
        <v>40</v>
      </c>
      <c r="T67" s="18" t="s">
        <v>15</v>
      </c>
      <c r="U67" s="25" t="n">
        <f aca="false">IF(AND($K67="Y",$F67&lt;&gt;"Y",OR($T67="",$T67=Summary!$C$11)),$C67*IF($H67&lt;&gt;"",$H67,$D67)*INDEX(Summary!$C$6:$C$8,MATCH($P67,Summary!$B$6:$B$8,0)),0)</f>
        <v>0</v>
      </c>
      <c r="V67" s="25" t="n">
        <f aca="false">IF(AND($K67="Y",$F67&lt;&gt;"Y",OR($T67="",$T67=Summary!$C$11)),$C67*IF($H67&lt;&gt;"",$H67,$E67)*INDEX(Summary!$C$6:$C$8,MATCH($P67,Summary!$B$6:$B$8,0)),0)</f>
        <v>0</v>
      </c>
      <c r="W67" s="18" t="s">
        <v>118</v>
      </c>
      <c r="X67" s="24"/>
    </row>
    <row r="68" customFormat="false" ht="30" hidden="false" customHeight="true" outlineLevel="0" collapsed="false">
      <c r="A68" s="18" t="s">
        <v>339</v>
      </c>
      <c r="B68" s="19" t="s">
        <v>340</v>
      </c>
      <c r="C68" s="20" t="n">
        <v>1</v>
      </c>
      <c r="D68" s="21" t="n">
        <v>0</v>
      </c>
      <c r="E68" s="21" t="n">
        <v>60</v>
      </c>
      <c r="F68" s="20" t="s">
        <v>101</v>
      </c>
      <c r="G68" s="20" t="s">
        <v>101</v>
      </c>
      <c r="H68" s="22"/>
      <c r="I68" s="23" t="n">
        <f aca="false">IF(AND($K68="Y",$F68&lt;&gt;"Y",OR($T68="",$T68=Summary!$C$11)),$C68*IF($H68&lt;&gt;"",$H68,($D68+$E68)/2)*INDEX(Summary!$C$6:$C$8,MATCH($P68,Summary!$B$6:$B$8,0)),0)</f>
        <v>30</v>
      </c>
      <c r="J68" s="20" t="s">
        <v>157</v>
      </c>
      <c r="K68" s="20" t="s">
        <v>103</v>
      </c>
      <c r="L68" s="24" t="s">
        <v>24</v>
      </c>
      <c r="M68" s="24" t="s">
        <v>341</v>
      </c>
      <c r="N68" s="19" t="s">
        <v>342</v>
      </c>
      <c r="O68" s="18" t="s">
        <v>106</v>
      </c>
      <c r="P68" s="20" t="s">
        <v>6</v>
      </c>
      <c r="Q68" s="18" t="s">
        <v>44</v>
      </c>
      <c r="R68" s="24" t="s">
        <v>343</v>
      </c>
      <c r="S68" s="18" t="s">
        <v>42</v>
      </c>
      <c r="T68" s="18" t="s">
        <v>15</v>
      </c>
      <c r="U68" s="25" t="n">
        <f aca="false">IF(AND($K68="Y",$F68&lt;&gt;"Y",OR($T68="",$T68=Summary!$C$11)),$C68*IF($H68&lt;&gt;"",$H68,$D68)*INDEX(Summary!$C$6:$C$8,MATCH($P68,Summary!$B$6:$B$8,0)),0)</f>
        <v>0</v>
      </c>
      <c r="V68" s="25" t="n">
        <f aca="false">IF(AND($K68="Y",$F68&lt;&gt;"Y",OR($T68="",$T68=Summary!$C$11)),$C68*IF($H68&lt;&gt;"",$H68,$E68)*INDEX(Summary!$C$6:$C$8,MATCH($P68,Summary!$B$6:$B$8,0)),0)</f>
        <v>60</v>
      </c>
      <c r="W68" s="18" t="s">
        <v>118</v>
      </c>
      <c r="X68" s="24"/>
    </row>
    <row r="69" customFormat="false" ht="30" hidden="false" customHeight="true" outlineLevel="0" collapsed="false">
      <c r="A69" s="18" t="s">
        <v>344</v>
      </c>
      <c r="B69" s="19" t="s">
        <v>345</v>
      </c>
      <c r="C69" s="20" t="n">
        <v>1</v>
      </c>
      <c r="D69" s="21" t="n">
        <v>0</v>
      </c>
      <c r="E69" s="21" t="n">
        <v>0</v>
      </c>
      <c r="F69" s="20" t="s">
        <v>103</v>
      </c>
      <c r="G69" s="20" t="s">
        <v>101</v>
      </c>
      <c r="H69" s="22"/>
      <c r="I69" s="23" t="n">
        <f aca="false">IF(AND($K69="Y",$F69&lt;&gt;"Y",OR($T69="",$T69=Summary!$C$11)),$C69*IF($H69&lt;&gt;"",$H69,($D69+$E69)/2)*INDEX(Summary!$C$6:$C$8,MATCH($P69,Summary!$B$6:$B$8,0)),0)</f>
        <v>0</v>
      </c>
      <c r="J69" s="20" t="s">
        <v>46</v>
      </c>
      <c r="K69" s="20" t="s">
        <v>103</v>
      </c>
      <c r="L69" s="24" t="s">
        <v>25</v>
      </c>
      <c r="M69" s="24" t="s">
        <v>216</v>
      </c>
      <c r="N69" s="19" t="s">
        <v>346</v>
      </c>
      <c r="O69" s="18" t="s">
        <v>106</v>
      </c>
      <c r="P69" s="20" t="s">
        <v>6</v>
      </c>
      <c r="Q69" s="18" t="s">
        <v>46</v>
      </c>
      <c r="R69" s="24" t="s">
        <v>7</v>
      </c>
      <c r="S69" s="18" t="s">
        <v>40</v>
      </c>
      <c r="T69" s="18" t="s">
        <v>347</v>
      </c>
      <c r="U69" s="25" t="n">
        <f aca="false">IF(AND($K69="Y",$F69&lt;&gt;"Y",OR($T69="",$T69=Summary!$C$11)),$C69*IF($H69&lt;&gt;"",$H69,$D69)*INDEX(Summary!$C$6:$C$8,MATCH($P69,Summary!$B$6:$B$8,0)),0)</f>
        <v>0</v>
      </c>
      <c r="V69" s="25" t="n">
        <f aca="false">IF(AND($K69="Y",$F69&lt;&gt;"Y",OR($T69="",$T69=Summary!$C$11)),$C69*IF($H69&lt;&gt;"",$H69,$E69)*INDEX(Summary!$C$6:$C$8,MATCH($P69,Summary!$B$6:$B$8,0)),0)</f>
        <v>0</v>
      </c>
      <c r="W69" s="18" t="s">
        <v>62</v>
      </c>
      <c r="X69" s="24"/>
    </row>
    <row r="70" customFormat="false" ht="30" hidden="false" customHeight="true" outlineLevel="0" collapsed="false">
      <c r="A70" s="18" t="s">
        <v>348</v>
      </c>
      <c r="B70" s="19" t="s">
        <v>349</v>
      </c>
      <c r="C70" s="20" t="n">
        <v>1</v>
      </c>
      <c r="D70" s="21" t="n">
        <v>215</v>
      </c>
      <c r="E70" s="21" t="n">
        <v>425</v>
      </c>
      <c r="F70" s="20" t="s">
        <v>101</v>
      </c>
      <c r="G70" s="20" t="s">
        <v>103</v>
      </c>
      <c r="H70" s="22"/>
      <c r="I70" s="23" t="n">
        <f aca="false">IF(AND($K70="Y",$F70&lt;&gt;"Y",OR($T70="",$T70=Summary!$C$11)),$C70*IF($H70&lt;&gt;"",$H70,($D70+$E70)/2)*INDEX(Summary!$C$6:$C$8,MATCH($P70,Summary!$B$6:$B$8,0)),0)</f>
        <v>0</v>
      </c>
      <c r="J70" s="20" t="s">
        <v>102</v>
      </c>
      <c r="K70" s="20" t="s">
        <v>103</v>
      </c>
      <c r="L70" s="24" t="s">
        <v>25</v>
      </c>
      <c r="M70" s="24" t="s">
        <v>230</v>
      </c>
      <c r="N70" s="19" t="s">
        <v>350</v>
      </c>
      <c r="O70" s="18" t="s">
        <v>106</v>
      </c>
      <c r="P70" s="20" t="s">
        <v>6</v>
      </c>
      <c r="Q70" s="18" t="s">
        <v>45</v>
      </c>
      <c r="R70" s="24" t="s">
        <v>316</v>
      </c>
      <c r="S70" s="18" t="s">
        <v>40</v>
      </c>
      <c r="T70" s="18" t="s">
        <v>347</v>
      </c>
      <c r="U70" s="25" t="n">
        <f aca="false">IF(AND($K70="Y",$F70&lt;&gt;"Y",OR($T70="",$T70=Summary!$C$11)),$C70*IF($H70&lt;&gt;"",$H70,$D70)*INDEX(Summary!$C$6:$C$8,MATCH($P70,Summary!$B$6:$B$8,0)),0)</f>
        <v>0</v>
      </c>
      <c r="V70" s="25" t="n">
        <f aca="false">IF(AND($K70="Y",$F70&lt;&gt;"Y",OR($T70="",$T70=Summary!$C$11)),$C70*IF($H70&lt;&gt;"",$H70,$E70)*INDEX(Summary!$C$6:$C$8,MATCH($P70,Summary!$B$6:$B$8,0)),0)</f>
        <v>0</v>
      </c>
      <c r="W70" s="18" t="s">
        <v>118</v>
      </c>
      <c r="X70" s="24"/>
    </row>
    <row r="71" customFormat="false" ht="30" hidden="false" customHeight="true" outlineLevel="0" collapsed="false">
      <c r="A71" s="18" t="s">
        <v>351</v>
      </c>
      <c r="B71" s="19" t="s">
        <v>352</v>
      </c>
      <c r="C71" s="20" t="n">
        <v>1</v>
      </c>
      <c r="D71" s="21" t="n">
        <v>85</v>
      </c>
      <c r="E71" s="21" t="n">
        <v>170</v>
      </c>
      <c r="F71" s="20" t="s">
        <v>101</v>
      </c>
      <c r="G71" s="20" t="s">
        <v>101</v>
      </c>
      <c r="H71" s="22"/>
      <c r="I71" s="23" t="n">
        <f aca="false">IF(AND($K71="Y",$F71&lt;&gt;"Y",OR($T71="",$T71=Summary!$C$11)),$C71*IF($H71&lt;&gt;"",$H71,($D71+$E71)/2)*INDEX(Summary!$C$6:$C$8,MATCH($P71,Summary!$B$6:$B$8,0)),0)</f>
        <v>0</v>
      </c>
      <c r="J71" s="20" t="s">
        <v>102</v>
      </c>
      <c r="K71" s="20" t="s">
        <v>103</v>
      </c>
      <c r="L71" s="24" t="s">
        <v>25</v>
      </c>
      <c r="M71" s="24" t="s">
        <v>230</v>
      </c>
      <c r="N71" s="19"/>
      <c r="O71" s="18" t="s">
        <v>212</v>
      </c>
      <c r="P71" s="20" t="s">
        <v>6</v>
      </c>
      <c r="Q71" s="18" t="s">
        <v>44</v>
      </c>
      <c r="R71" s="24" t="s">
        <v>353</v>
      </c>
      <c r="S71" s="18" t="s">
        <v>40</v>
      </c>
      <c r="T71" s="18" t="s">
        <v>347</v>
      </c>
      <c r="U71" s="25" t="n">
        <f aca="false">IF(AND($K71="Y",$F71&lt;&gt;"Y",OR($T71="",$T71=Summary!$C$11)),$C71*IF($H71&lt;&gt;"",$H71,$D71)*INDEX(Summary!$C$6:$C$8,MATCH($P71,Summary!$B$6:$B$8,0)),0)</f>
        <v>0</v>
      </c>
      <c r="V71" s="25" t="n">
        <f aca="false">IF(AND($K71="Y",$F71&lt;&gt;"Y",OR($T71="",$T71=Summary!$C$11)),$C71*IF($H71&lt;&gt;"",$H71,$E71)*INDEX(Summary!$C$6:$C$8,MATCH($P71,Summary!$B$6:$B$8,0)),0)</f>
        <v>0</v>
      </c>
      <c r="W71" s="18" t="s">
        <v>118</v>
      </c>
      <c r="X71" s="24"/>
    </row>
    <row r="72" customFormat="false" ht="30" hidden="false" customHeight="true" outlineLevel="0" collapsed="false">
      <c r="A72" s="18" t="s">
        <v>354</v>
      </c>
      <c r="B72" s="19" t="s">
        <v>355</v>
      </c>
      <c r="C72" s="20" t="n">
        <v>1</v>
      </c>
      <c r="D72" s="21" t="n">
        <v>150</v>
      </c>
      <c r="E72" s="21" t="n">
        <v>400</v>
      </c>
      <c r="F72" s="20" t="s">
        <v>101</v>
      </c>
      <c r="G72" s="20" t="s">
        <v>101</v>
      </c>
      <c r="H72" s="22"/>
      <c r="I72" s="23" t="n">
        <f aca="false">IF(AND($K72="Y",$F72&lt;&gt;"Y",OR($T72="",$T72=Summary!$C$11)),$C72*IF($H72&lt;&gt;"",$H72,($D72+$E72)/2)*INDEX(Summary!$C$6:$C$8,MATCH($P72,Summary!$B$6:$B$8,0)),0)</f>
        <v>0</v>
      </c>
      <c r="J72" s="20" t="s">
        <v>102</v>
      </c>
      <c r="K72" s="20" t="s">
        <v>103</v>
      </c>
      <c r="L72" s="24" t="s">
        <v>25</v>
      </c>
      <c r="M72" s="24" t="s">
        <v>270</v>
      </c>
      <c r="N72" s="19" t="s">
        <v>356</v>
      </c>
      <c r="O72" s="18" t="s">
        <v>106</v>
      </c>
      <c r="P72" s="20" t="s">
        <v>6</v>
      </c>
      <c r="Q72" s="18" t="s">
        <v>44</v>
      </c>
      <c r="R72" s="24" t="s">
        <v>357</v>
      </c>
      <c r="S72" s="18" t="s">
        <v>40</v>
      </c>
      <c r="T72" s="18" t="s">
        <v>347</v>
      </c>
      <c r="U72" s="25" t="n">
        <f aca="false">IF(AND($K72="Y",$F72&lt;&gt;"Y",OR($T72="",$T72=Summary!$C$11)),$C72*IF($H72&lt;&gt;"",$H72,$D72)*INDEX(Summary!$C$6:$C$8,MATCH($P72,Summary!$B$6:$B$8,0)),0)</f>
        <v>0</v>
      </c>
      <c r="V72" s="25" t="n">
        <f aca="false">IF(AND($K72="Y",$F72&lt;&gt;"Y",OR($T72="",$T72=Summary!$C$11)),$C72*IF($H72&lt;&gt;"",$H72,$E72)*INDEX(Summary!$C$6:$C$8,MATCH($P72,Summary!$B$6:$B$8,0)),0)</f>
        <v>0</v>
      </c>
      <c r="W72" s="18" t="s">
        <v>62</v>
      </c>
      <c r="X72" s="24"/>
    </row>
    <row r="73" customFormat="false" ht="30" hidden="false" customHeight="true" outlineLevel="0" collapsed="false">
      <c r="A73" s="18" t="s">
        <v>358</v>
      </c>
      <c r="B73" s="19" t="s">
        <v>359</v>
      </c>
      <c r="C73" s="20" t="n">
        <v>1</v>
      </c>
      <c r="D73" s="21" t="n">
        <v>0</v>
      </c>
      <c r="E73" s="21" t="n">
        <v>850</v>
      </c>
      <c r="F73" s="20" t="s">
        <v>103</v>
      </c>
      <c r="G73" s="20" t="s">
        <v>101</v>
      </c>
      <c r="H73" s="22"/>
      <c r="I73" s="23" t="n">
        <f aca="false">IF(AND($K73="Y",$F73&lt;&gt;"Y",OR($T73="",$T73=Summary!$C$11)),$C73*IF($H73&lt;&gt;"",$H73,($D73+$E73)/2)*INDEX(Summary!$C$6:$C$8,MATCH($P73,Summary!$B$6:$B$8,0)),0)</f>
        <v>0</v>
      </c>
      <c r="J73" s="20" t="s">
        <v>157</v>
      </c>
      <c r="K73" s="20" t="s">
        <v>103</v>
      </c>
      <c r="L73" s="24" t="s">
        <v>25</v>
      </c>
      <c r="M73" s="24" t="s">
        <v>270</v>
      </c>
      <c r="N73" s="19"/>
      <c r="O73" s="18" t="s">
        <v>106</v>
      </c>
      <c r="P73" s="20" t="s">
        <v>6</v>
      </c>
      <c r="Q73" s="18" t="s">
        <v>46</v>
      </c>
      <c r="R73" s="24" t="s">
        <v>7</v>
      </c>
      <c r="S73" s="18" t="s">
        <v>40</v>
      </c>
      <c r="T73" s="18" t="s">
        <v>347</v>
      </c>
      <c r="U73" s="25" t="n">
        <f aca="false">IF(AND($K73="Y",$F73&lt;&gt;"Y",OR($T73="",$T73=Summary!$C$11)),$C73*IF($H73&lt;&gt;"",$H73,$D73)*INDEX(Summary!$C$6:$C$8,MATCH($P73,Summary!$B$6:$B$8,0)),0)</f>
        <v>0</v>
      </c>
      <c r="V73" s="25" t="n">
        <f aca="false">IF(AND($K73="Y",$F73&lt;&gt;"Y",OR($T73="",$T73=Summary!$C$11)),$C73*IF($H73&lt;&gt;"",$H73,$E73)*INDEX(Summary!$C$6:$C$8,MATCH($P73,Summary!$B$6:$B$8,0)),0)</f>
        <v>0</v>
      </c>
      <c r="W73" s="18" t="s">
        <v>62</v>
      </c>
      <c r="X73" s="24"/>
    </row>
    <row r="74" customFormat="false" ht="30" hidden="false" customHeight="true" outlineLevel="0" collapsed="false">
      <c r="A74" s="18" t="s">
        <v>360</v>
      </c>
      <c r="B74" s="19" t="s">
        <v>361</v>
      </c>
      <c r="C74" s="20" t="n">
        <v>1</v>
      </c>
      <c r="D74" s="21" t="n">
        <v>20</v>
      </c>
      <c r="E74" s="21" t="n">
        <v>55</v>
      </c>
      <c r="F74" s="20" t="s">
        <v>101</v>
      </c>
      <c r="G74" s="20" t="s">
        <v>101</v>
      </c>
      <c r="H74" s="22"/>
      <c r="I74" s="23" t="n">
        <f aca="false">IF(AND($K74="Y",$F74&lt;&gt;"Y",OR($T74="",$T74=Summary!$C$11)),$C74*IF($H74&lt;&gt;"",$H74,($D74+$E74)/2)*INDEX(Summary!$C$6:$C$8,MATCH($P74,Summary!$B$6:$B$8,0)),0)</f>
        <v>0</v>
      </c>
      <c r="J74" s="20" t="s">
        <v>102</v>
      </c>
      <c r="K74" s="20" t="s">
        <v>103</v>
      </c>
      <c r="L74" s="24" t="s">
        <v>25</v>
      </c>
      <c r="M74" s="24" t="s">
        <v>270</v>
      </c>
      <c r="N74" s="19"/>
      <c r="O74" s="18" t="s">
        <v>106</v>
      </c>
      <c r="P74" s="20" t="s">
        <v>6</v>
      </c>
      <c r="Q74" s="18" t="s">
        <v>44</v>
      </c>
      <c r="R74" s="24" t="s">
        <v>362</v>
      </c>
      <c r="S74" s="18" t="s">
        <v>40</v>
      </c>
      <c r="T74" s="18" t="s">
        <v>347</v>
      </c>
      <c r="U74" s="25" t="n">
        <f aca="false">IF(AND($K74="Y",$F74&lt;&gt;"Y",OR($T74="",$T74=Summary!$C$11)),$C74*IF($H74&lt;&gt;"",$H74,$D74)*INDEX(Summary!$C$6:$C$8,MATCH($P74,Summary!$B$6:$B$8,0)),0)</f>
        <v>0</v>
      </c>
      <c r="V74" s="25" t="n">
        <f aca="false">IF(AND($K74="Y",$F74&lt;&gt;"Y",OR($T74="",$T74=Summary!$C$11)),$C74*IF($H74&lt;&gt;"",$H74,$E74)*INDEX(Summary!$C$6:$C$8,MATCH($P74,Summary!$B$6:$B$8,0)),0)</f>
        <v>0</v>
      </c>
      <c r="W74" s="18" t="s">
        <v>118</v>
      </c>
      <c r="X74" s="24"/>
    </row>
    <row r="75" customFormat="false" ht="30" hidden="false" customHeight="true" outlineLevel="0" collapsed="false">
      <c r="A75" s="18" t="s">
        <v>363</v>
      </c>
      <c r="B75" s="19" t="s">
        <v>364</v>
      </c>
      <c r="C75" s="20" t="n">
        <v>1</v>
      </c>
      <c r="D75" s="21" t="n">
        <v>0</v>
      </c>
      <c r="E75" s="21" t="n">
        <v>0</v>
      </c>
      <c r="F75" s="20" t="s">
        <v>103</v>
      </c>
      <c r="G75" s="20" t="s">
        <v>101</v>
      </c>
      <c r="H75" s="22"/>
      <c r="I75" s="23" t="n">
        <f aca="false">IF(AND($K75="Y",$F75&lt;&gt;"Y",OR($T75="",$T75=Summary!$C$11)),$C75*IF($H75&lt;&gt;"",$H75,($D75+$E75)/2)*INDEX(Summary!$C$6:$C$8,MATCH($P75,Summary!$B$6:$B$8,0)),0)</f>
        <v>0</v>
      </c>
      <c r="J75" s="20" t="s">
        <v>46</v>
      </c>
      <c r="K75" s="20" t="s">
        <v>103</v>
      </c>
      <c r="L75" s="24" t="s">
        <v>25</v>
      </c>
      <c r="M75" s="24" t="s">
        <v>297</v>
      </c>
      <c r="N75" s="19"/>
      <c r="O75" s="18" t="s">
        <v>106</v>
      </c>
      <c r="P75" s="20" t="s">
        <v>6</v>
      </c>
      <c r="Q75" s="18" t="s">
        <v>46</v>
      </c>
      <c r="R75" s="24" t="s">
        <v>7</v>
      </c>
      <c r="S75" s="18" t="s">
        <v>40</v>
      </c>
      <c r="T75" s="18" t="s">
        <v>347</v>
      </c>
      <c r="U75" s="25" t="n">
        <f aca="false">IF(AND($K75="Y",$F75&lt;&gt;"Y",OR($T75="",$T75=Summary!$C$11)),$C75*IF($H75&lt;&gt;"",$H75,$D75)*INDEX(Summary!$C$6:$C$8,MATCH($P75,Summary!$B$6:$B$8,0)),0)</f>
        <v>0</v>
      </c>
      <c r="V75" s="25" t="n">
        <f aca="false">IF(AND($K75="Y",$F75&lt;&gt;"Y",OR($T75="",$T75=Summary!$C$11)),$C75*IF($H75&lt;&gt;"",$H75,$E75)*INDEX(Summary!$C$6:$C$8,MATCH($P75,Summary!$B$6:$B$8,0)),0)</f>
        <v>0</v>
      </c>
      <c r="W75" s="18" t="s">
        <v>118</v>
      </c>
      <c r="X75" s="24"/>
    </row>
    <row r="76" customFormat="false" ht="30" hidden="false" customHeight="true" outlineLevel="0" collapsed="false">
      <c r="A76" s="18" t="s">
        <v>365</v>
      </c>
      <c r="B76" s="19" t="s">
        <v>366</v>
      </c>
      <c r="C76" s="20" t="n">
        <v>1</v>
      </c>
      <c r="D76" s="21" t="n">
        <v>0</v>
      </c>
      <c r="E76" s="21" t="n">
        <v>0</v>
      </c>
      <c r="F76" s="20" t="s">
        <v>103</v>
      </c>
      <c r="G76" s="20" t="s">
        <v>101</v>
      </c>
      <c r="H76" s="22"/>
      <c r="I76" s="23" t="n">
        <f aca="false">IF(AND($K76="Y",$F76&lt;&gt;"Y",OR($T76="",$T76=Summary!$C$11)),$C76*IF($H76&lt;&gt;"",$H76,($D76+$E76)/2)*INDEX(Summary!$C$6:$C$8,MATCH($P76,Summary!$B$6:$B$8,0)),0)</f>
        <v>0</v>
      </c>
      <c r="J76" s="20" t="s">
        <v>46</v>
      </c>
      <c r="K76" s="20" t="s">
        <v>103</v>
      </c>
      <c r="L76" s="24" t="s">
        <v>25</v>
      </c>
      <c r="M76" s="24" t="s">
        <v>309</v>
      </c>
      <c r="N76" s="19"/>
      <c r="O76" s="18" t="s">
        <v>106</v>
      </c>
      <c r="P76" s="20" t="s">
        <v>6</v>
      </c>
      <c r="Q76" s="18" t="s">
        <v>46</v>
      </c>
      <c r="R76" s="24" t="s">
        <v>7</v>
      </c>
      <c r="S76" s="18" t="s">
        <v>40</v>
      </c>
      <c r="T76" s="18" t="s">
        <v>347</v>
      </c>
      <c r="U76" s="25" t="n">
        <f aca="false">IF(AND($K76="Y",$F76&lt;&gt;"Y",OR($T76="",$T76=Summary!$C$11)),$C76*IF($H76&lt;&gt;"",$H76,$D76)*INDEX(Summary!$C$6:$C$8,MATCH($P76,Summary!$B$6:$B$8,0)),0)</f>
        <v>0</v>
      </c>
      <c r="V76" s="25" t="n">
        <f aca="false">IF(AND($K76="Y",$F76&lt;&gt;"Y",OR($T76="",$T76=Summary!$C$11)),$C76*IF($H76&lt;&gt;"",$H76,$E76)*INDEX(Summary!$C$6:$C$8,MATCH($P76,Summary!$B$6:$B$8,0)),0)</f>
        <v>0</v>
      </c>
      <c r="W76" s="18" t="s">
        <v>118</v>
      </c>
      <c r="X76" s="24"/>
    </row>
    <row r="77" customFormat="false" ht="30" hidden="false" customHeight="true" outlineLevel="0" collapsed="false">
      <c r="A77" s="18" t="s">
        <v>367</v>
      </c>
      <c r="B77" s="19" t="s">
        <v>368</v>
      </c>
      <c r="C77" s="20" t="n">
        <v>1</v>
      </c>
      <c r="D77" s="21" t="n">
        <v>710</v>
      </c>
      <c r="E77" s="21" t="n">
        <v>1280</v>
      </c>
      <c r="F77" s="20" t="s">
        <v>101</v>
      </c>
      <c r="G77" s="20" t="s">
        <v>101</v>
      </c>
      <c r="H77" s="22"/>
      <c r="I77" s="23" t="n">
        <f aca="false">IF(AND($K77="Y",$F77&lt;&gt;"Y",OR($T77="",$T77=Summary!$C$11)),$C77*IF($H77&lt;&gt;"",$H77,($D77+$E77)/2)*INDEX(Summary!$C$6:$C$8,MATCH($P77,Summary!$B$6:$B$8,0)),0)</f>
        <v>995</v>
      </c>
      <c r="J77" s="20" t="s">
        <v>102</v>
      </c>
      <c r="K77" s="20" t="s">
        <v>103</v>
      </c>
      <c r="L77" s="24" t="s">
        <v>26</v>
      </c>
      <c r="M77" s="24" t="s">
        <v>369</v>
      </c>
      <c r="N77" s="19" t="s">
        <v>370</v>
      </c>
      <c r="O77" s="18" t="s">
        <v>106</v>
      </c>
      <c r="P77" s="20" t="s">
        <v>6</v>
      </c>
      <c r="Q77" s="18" t="s">
        <v>44</v>
      </c>
      <c r="R77" s="24" t="s">
        <v>371</v>
      </c>
      <c r="S77" s="18" t="s">
        <v>40</v>
      </c>
      <c r="T77" s="18"/>
      <c r="U77" s="25" t="n">
        <f aca="false">IF(AND($K77="Y",$F77&lt;&gt;"Y",OR($T77="",$T77=Summary!$C$11)),$C77*IF($H77&lt;&gt;"",$H77,$D77)*INDEX(Summary!$C$6:$C$8,MATCH($P77,Summary!$B$6:$B$8,0)),0)</f>
        <v>710</v>
      </c>
      <c r="V77" s="25" t="n">
        <f aca="false">IF(AND($K77="Y",$F77&lt;&gt;"Y",OR($T77="",$T77=Summary!$C$11)),$C77*IF($H77&lt;&gt;"",$H77,$E77)*INDEX(Summary!$C$6:$C$8,MATCH($P77,Summary!$B$6:$B$8,0)),0)</f>
        <v>1280</v>
      </c>
      <c r="W77" s="18" t="s">
        <v>62</v>
      </c>
      <c r="X77" s="24"/>
    </row>
    <row r="78" customFormat="false" ht="30" hidden="false" customHeight="true" outlineLevel="0" collapsed="false">
      <c r="A78" s="18" t="s">
        <v>372</v>
      </c>
      <c r="B78" s="19" t="s">
        <v>373</v>
      </c>
      <c r="C78" s="20" t="n">
        <v>1</v>
      </c>
      <c r="D78" s="21" t="n">
        <v>14</v>
      </c>
      <c r="E78" s="21" t="n">
        <v>35</v>
      </c>
      <c r="F78" s="20" t="s">
        <v>101</v>
      </c>
      <c r="G78" s="20" t="s">
        <v>101</v>
      </c>
      <c r="H78" s="22"/>
      <c r="I78" s="23" t="n">
        <f aca="false">IF(AND($K78="Y",$F78&lt;&gt;"Y",OR($T78="",$T78=Summary!$C$11)),$C78*IF($H78&lt;&gt;"",$H78,($D78+$E78)/2)*INDEX(Summary!$C$6:$C$8,MATCH($P78,Summary!$B$6:$B$8,0)),0)</f>
        <v>24.5</v>
      </c>
      <c r="J78" s="20" t="s">
        <v>102</v>
      </c>
      <c r="K78" s="20" t="s">
        <v>103</v>
      </c>
      <c r="L78" s="24" t="s">
        <v>26</v>
      </c>
      <c r="M78" s="24" t="s">
        <v>369</v>
      </c>
      <c r="N78" s="19"/>
      <c r="O78" s="18" t="s">
        <v>140</v>
      </c>
      <c r="P78" s="20" t="s">
        <v>6</v>
      </c>
      <c r="Q78" s="18" t="s">
        <v>44</v>
      </c>
      <c r="R78" s="24" t="s">
        <v>374</v>
      </c>
      <c r="S78" s="18" t="s">
        <v>40</v>
      </c>
      <c r="T78" s="18"/>
      <c r="U78" s="25" t="n">
        <f aca="false">IF(AND($K78="Y",$F78&lt;&gt;"Y",OR($T78="",$T78=Summary!$C$11)),$C78*IF($H78&lt;&gt;"",$H78,$D78)*INDEX(Summary!$C$6:$C$8,MATCH($P78,Summary!$B$6:$B$8,0)),0)</f>
        <v>14</v>
      </c>
      <c r="V78" s="25" t="n">
        <f aca="false">IF(AND($K78="Y",$F78&lt;&gt;"Y",OR($T78="",$T78=Summary!$C$11)),$C78*IF($H78&lt;&gt;"",$H78,$E78)*INDEX(Summary!$C$6:$C$8,MATCH($P78,Summary!$B$6:$B$8,0)),0)</f>
        <v>35</v>
      </c>
      <c r="W78" s="18" t="s">
        <v>118</v>
      </c>
      <c r="X78" s="24"/>
    </row>
    <row r="79" customFormat="false" ht="30" hidden="false" customHeight="true" outlineLevel="0" collapsed="false">
      <c r="A79" s="18" t="s">
        <v>375</v>
      </c>
      <c r="B79" s="19" t="s">
        <v>376</v>
      </c>
      <c r="C79" s="20" t="n">
        <v>1</v>
      </c>
      <c r="D79" s="21" t="n">
        <v>0</v>
      </c>
      <c r="E79" s="21" t="n">
        <v>0</v>
      </c>
      <c r="F79" s="20" t="s">
        <v>103</v>
      </c>
      <c r="G79" s="20" t="s">
        <v>101</v>
      </c>
      <c r="H79" s="22"/>
      <c r="I79" s="23" t="n">
        <f aca="false">IF(AND($K79="Y",$F79&lt;&gt;"Y",OR($T79="",$T79=Summary!$C$11)),$C79*IF($H79&lt;&gt;"",$H79,($D79+$E79)/2)*INDEX(Summary!$C$6:$C$8,MATCH($P79,Summary!$B$6:$B$8,0)),0)</f>
        <v>0</v>
      </c>
      <c r="J79" s="20" t="s">
        <v>46</v>
      </c>
      <c r="K79" s="20" t="s">
        <v>103</v>
      </c>
      <c r="L79" s="24" t="s">
        <v>26</v>
      </c>
      <c r="M79" s="24" t="s">
        <v>377</v>
      </c>
      <c r="N79" s="19"/>
      <c r="O79" s="18" t="s">
        <v>106</v>
      </c>
      <c r="P79" s="20" t="s">
        <v>6</v>
      </c>
      <c r="Q79" s="18" t="s">
        <v>46</v>
      </c>
      <c r="R79" s="24" t="s">
        <v>7</v>
      </c>
      <c r="S79" s="18" t="s">
        <v>40</v>
      </c>
      <c r="T79" s="18"/>
      <c r="U79" s="25" t="n">
        <f aca="false">IF(AND($K79="Y",$F79&lt;&gt;"Y",OR($T79="",$T79=Summary!$C$11)),$C79*IF($H79&lt;&gt;"",$H79,$D79)*INDEX(Summary!$C$6:$C$8,MATCH($P79,Summary!$B$6:$B$8,0)),0)</f>
        <v>0</v>
      </c>
      <c r="V79" s="25" t="n">
        <f aca="false">IF(AND($K79="Y",$F79&lt;&gt;"Y",OR($T79="",$T79=Summary!$C$11)),$C79*IF($H79&lt;&gt;"",$H79,$E79)*INDEX(Summary!$C$6:$C$8,MATCH($P79,Summary!$B$6:$B$8,0)),0)</f>
        <v>0</v>
      </c>
      <c r="W79" s="18" t="s">
        <v>118</v>
      </c>
      <c r="X79" s="24"/>
    </row>
    <row r="80" customFormat="false" ht="30" hidden="false" customHeight="true" outlineLevel="0" collapsed="false">
      <c r="A80" s="18" t="s">
        <v>378</v>
      </c>
      <c r="B80" s="19" t="s">
        <v>379</v>
      </c>
      <c r="C80" s="20" t="n">
        <v>1</v>
      </c>
      <c r="D80" s="21" t="n">
        <v>55</v>
      </c>
      <c r="E80" s="21" t="n">
        <v>130</v>
      </c>
      <c r="F80" s="20" t="s">
        <v>101</v>
      </c>
      <c r="G80" s="20" t="s">
        <v>101</v>
      </c>
      <c r="H80" s="22"/>
      <c r="I80" s="23" t="n">
        <f aca="false">IF(AND($K80="Y",$F80&lt;&gt;"Y",OR($T80="",$T80=Summary!$C$11)),$C80*IF($H80&lt;&gt;"",$H80,($D80+$E80)/2)*INDEX(Summary!$C$6:$C$8,MATCH($P80,Summary!$B$6:$B$8,0)),0)</f>
        <v>0</v>
      </c>
      <c r="J80" s="20" t="s">
        <v>126</v>
      </c>
      <c r="K80" s="20" t="s">
        <v>101</v>
      </c>
      <c r="L80" s="24" t="s">
        <v>26</v>
      </c>
      <c r="M80" s="24" t="s">
        <v>369</v>
      </c>
      <c r="N80" s="19"/>
      <c r="O80" s="18" t="s">
        <v>106</v>
      </c>
      <c r="P80" s="20" t="s">
        <v>6</v>
      </c>
      <c r="Q80" s="18" t="s">
        <v>44</v>
      </c>
      <c r="R80" s="24" t="s">
        <v>185</v>
      </c>
      <c r="S80" s="18" t="s">
        <v>41</v>
      </c>
      <c r="T80" s="18"/>
      <c r="U80" s="25" t="n">
        <f aca="false">IF(AND($K80="Y",$F80&lt;&gt;"Y",OR($T80="",$T80=Summary!$C$11)),$C80*IF($H80&lt;&gt;"",$H80,$D80)*INDEX(Summary!$C$6:$C$8,MATCH($P80,Summary!$B$6:$B$8,0)),0)</f>
        <v>0</v>
      </c>
      <c r="V80" s="25" t="n">
        <f aca="false">IF(AND($K80="Y",$F80&lt;&gt;"Y",OR($T80="",$T80=Summary!$C$11)),$C80*IF($H80&lt;&gt;"",$H80,$E80)*INDEX(Summary!$C$6:$C$8,MATCH($P80,Summary!$B$6:$B$8,0)),0)</f>
        <v>0</v>
      </c>
      <c r="W80" s="18" t="s">
        <v>118</v>
      </c>
      <c r="X80" s="24"/>
    </row>
    <row r="81" customFormat="false" ht="30" hidden="false" customHeight="true" outlineLevel="0" collapsed="false">
      <c r="A81" s="18" t="s">
        <v>380</v>
      </c>
      <c r="B81" s="19" t="s">
        <v>381</v>
      </c>
      <c r="C81" s="20" t="n">
        <v>1</v>
      </c>
      <c r="D81" s="21" t="n">
        <v>40</v>
      </c>
      <c r="E81" s="21" t="n">
        <v>90</v>
      </c>
      <c r="F81" s="20" t="s">
        <v>101</v>
      </c>
      <c r="G81" s="20" t="s">
        <v>103</v>
      </c>
      <c r="H81" s="22"/>
      <c r="I81" s="23" t="n">
        <f aca="false">IF(AND($K81="Y",$F81&lt;&gt;"Y",OR($T81="",$T81=Summary!$C$11)),$C81*IF($H81&lt;&gt;"",$H81,($D81+$E81)/2)*INDEX(Summary!$C$6:$C$8,MATCH($P81,Summary!$B$6:$B$8,0)),0)</f>
        <v>65</v>
      </c>
      <c r="J81" s="20" t="s">
        <v>102</v>
      </c>
      <c r="K81" s="20" t="s">
        <v>103</v>
      </c>
      <c r="L81" s="24" t="s">
        <v>27</v>
      </c>
      <c r="M81" s="24" t="s">
        <v>382</v>
      </c>
      <c r="N81" s="19" t="s">
        <v>383</v>
      </c>
      <c r="O81" s="18" t="s">
        <v>212</v>
      </c>
      <c r="P81" s="20" t="s">
        <v>6</v>
      </c>
      <c r="Q81" s="18" t="s">
        <v>45</v>
      </c>
      <c r="R81" s="24" t="s">
        <v>316</v>
      </c>
      <c r="S81" s="18" t="s">
        <v>40</v>
      </c>
      <c r="T81" s="18"/>
      <c r="U81" s="25" t="n">
        <f aca="false">IF(AND($K81="Y",$F81&lt;&gt;"Y",OR($T81="",$T81=Summary!$C$11)),$C81*IF($H81&lt;&gt;"",$H81,$D81)*INDEX(Summary!$C$6:$C$8,MATCH($P81,Summary!$B$6:$B$8,0)),0)</f>
        <v>40</v>
      </c>
      <c r="V81" s="25" t="n">
        <f aca="false">IF(AND($K81="Y",$F81&lt;&gt;"Y",OR($T81="",$T81=Summary!$C$11)),$C81*IF($H81&lt;&gt;"",$H81,$E81)*INDEX(Summary!$C$6:$C$8,MATCH($P81,Summary!$B$6:$B$8,0)),0)</f>
        <v>90</v>
      </c>
      <c r="W81" s="18" t="s">
        <v>118</v>
      </c>
      <c r="X81" s="24"/>
    </row>
    <row r="82" customFormat="false" ht="30" hidden="false" customHeight="true" outlineLevel="0" collapsed="false">
      <c r="A82" s="18" t="s">
        <v>384</v>
      </c>
      <c r="B82" s="19" t="s">
        <v>385</v>
      </c>
      <c r="C82" s="20" t="n">
        <v>2</v>
      </c>
      <c r="D82" s="21" t="n">
        <v>35</v>
      </c>
      <c r="E82" s="21" t="n">
        <v>85</v>
      </c>
      <c r="F82" s="20" t="s">
        <v>101</v>
      </c>
      <c r="G82" s="20" t="s">
        <v>101</v>
      </c>
      <c r="H82" s="22"/>
      <c r="I82" s="23" t="n">
        <f aca="false">IF(AND($K82="Y",$F82&lt;&gt;"Y",OR($T82="",$T82=Summary!$C$11)),$C82*IF($H82&lt;&gt;"",$H82,($D82+$E82)/2)*INDEX(Summary!$C$6:$C$8,MATCH($P82,Summary!$B$6:$B$8,0)),0)</f>
        <v>120</v>
      </c>
      <c r="J82" s="20" t="s">
        <v>102</v>
      </c>
      <c r="K82" s="20" t="s">
        <v>103</v>
      </c>
      <c r="L82" s="24" t="s">
        <v>27</v>
      </c>
      <c r="M82" s="24" t="s">
        <v>382</v>
      </c>
      <c r="N82" s="19" t="s">
        <v>386</v>
      </c>
      <c r="O82" s="18" t="s">
        <v>106</v>
      </c>
      <c r="P82" s="20" t="s">
        <v>6</v>
      </c>
      <c r="Q82" s="18" t="s">
        <v>44</v>
      </c>
      <c r="R82" s="24" t="s">
        <v>387</v>
      </c>
      <c r="S82" s="18" t="s">
        <v>40</v>
      </c>
      <c r="T82" s="18"/>
      <c r="U82" s="25" t="n">
        <f aca="false">IF(AND($K82="Y",$F82&lt;&gt;"Y",OR($T82="",$T82=Summary!$C$11)),$C82*IF($H82&lt;&gt;"",$H82,$D82)*INDEX(Summary!$C$6:$C$8,MATCH($P82,Summary!$B$6:$B$8,0)),0)</f>
        <v>70</v>
      </c>
      <c r="V82" s="25" t="n">
        <f aca="false">IF(AND($K82="Y",$F82&lt;&gt;"Y",OR($T82="",$T82=Summary!$C$11)),$C82*IF($H82&lt;&gt;"",$H82,$E82)*INDEX(Summary!$C$6:$C$8,MATCH($P82,Summary!$B$6:$B$8,0)),0)</f>
        <v>170</v>
      </c>
      <c r="W82" s="18" t="s">
        <v>118</v>
      </c>
      <c r="X82" s="24"/>
    </row>
    <row r="83" customFormat="false" ht="30" hidden="false" customHeight="true" outlineLevel="0" collapsed="false">
      <c r="A83" s="18" t="s">
        <v>388</v>
      </c>
      <c r="B83" s="19" t="s">
        <v>389</v>
      </c>
      <c r="C83" s="20" t="n">
        <v>1</v>
      </c>
      <c r="D83" s="21" t="n">
        <v>30</v>
      </c>
      <c r="E83" s="21" t="n">
        <v>55</v>
      </c>
      <c r="F83" s="20" t="s">
        <v>101</v>
      </c>
      <c r="G83" s="20" t="s">
        <v>101</v>
      </c>
      <c r="H83" s="22"/>
      <c r="I83" s="23" t="n">
        <f aca="false">IF(AND($K83="Y",$F83&lt;&gt;"Y",OR($T83="",$T83=Summary!$C$11)),$C83*IF($H83&lt;&gt;"",$H83,($D83+$E83)/2)*INDEX(Summary!$C$6:$C$8,MATCH($P83,Summary!$B$6:$B$8,0)),0)</f>
        <v>42.5</v>
      </c>
      <c r="J83" s="20" t="s">
        <v>102</v>
      </c>
      <c r="K83" s="20" t="s">
        <v>103</v>
      </c>
      <c r="L83" s="24" t="s">
        <v>27</v>
      </c>
      <c r="M83" s="24" t="s">
        <v>382</v>
      </c>
      <c r="N83" s="19"/>
      <c r="O83" s="18" t="s">
        <v>212</v>
      </c>
      <c r="P83" s="20" t="s">
        <v>6</v>
      </c>
      <c r="Q83" s="18" t="s">
        <v>44</v>
      </c>
      <c r="R83" s="24" t="s">
        <v>303</v>
      </c>
      <c r="S83" s="18" t="s">
        <v>40</v>
      </c>
      <c r="T83" s="18"/>
      <c r="U83" s="25" t="n">
        <f aca="false">IF(AND($K83="Y",$F83&lt;&gt;"Y",OR($T83="",$T83=Summary!$C$11)),$C83*IF($H83&lt;&gt;"",$H83,$D83)*INDEX(Summary!$C$6:$C$8,MATCH($P83,Summary!$B$6:$B$8,0)),0)</f>
        <v>30</v>
      </c>
      <c r="V83" s="25" t="n">
        <f aca="false">IF(AND($K83="Y",$F83&lt;&gt;"Y",OR($T83="",$T83=Summary!$C$11)),$C83*IF($H83&lt;&gt;"",$H83,$E83)*INDEX(Summary!$C$6:$C$8,MATCH($P83,Summary!$B$6:$B$8,0)),0)</f>
        <v>55</v>
      </c>
      <c r="W83" s="18" t="s">
        <v>118</v>
      </c>
      <c r="X83" s="24"/>
    </row>
    <row r="84" customFormat="false" ht="30" hidden="false" customHeight="true" outlineLevel="0" collapsed="false">
      <c r="A84" s="18" t="s">
        <v>390</v>
      </c>
      <c r="B84" s="19" t="s">
        <v>391</v>
      </c>
      <c r="C84" s="20" t="n">
        <v>1</v>
      </c>
      <c r="D84" s="21" t="n">
        <v>40</v>
      </c>
      <c r="E84" s="21" t="n">
        <v>80</v>
      </c>
      <c r="F84" s="20" t="s">
        <v>101</v>
      </c>
      <c r="G84" s="20" t="s">
        <v>103</v>
      </c>
      <c r="H84" s="22"/>
      <c r="I84" s="23" t="n">
        <f aca="false">IF(AND($K84="Y",$F84&lt;&gt;"Y",OR($T84="",$T84=Summary!$C$11)),$C84*IF($H84&lt;&gt;"",$H84,($D84+$E84)/2)*INDEX(Summary!$C$6:$C$8,MATCH($P84,Summary!$B$6:$B$8,0)),0)</f>
        <v>60</v>
      </c>
      <c r="J84" s="20" t="s">
        <v>102</v>
      </c>
      <c r="K84" s="20" t="s">
        <v>103</v>
      </c>
      <c r="L84" s="24" t="s">
        <v>27</v>
      </c>
      <c r="M84" s="24" t="s">
        <v>392</v>
      </c>
      <c r="N84" s="19"/>
      <c r="O84" s="18" t="s">
        <v>212</v>
      </c>
      <c r="P84" s="20" t="s">
        <v>6</v>
      </c>
      <c r="Q84" s="18" t="s">
        <v>45</v>
      </c>
      <c r="R84" s="24" t="s">
        <v>316</v>
      </c>
      <c r="S84" s="18" t="s">
        <v>40</v>
      </c>
      <c r="T84" s="18"/>
      <c r="U84" s="25" t="n">
        <f aca="false">IF(AND($K84="Y",$F84&lt;&gt;"Y",OR($T84="",$T84=Summary!$C$11)),$C84*IF($H84&lt;&gt;"",$H84,$D84)*INDEX(Summary!$C$6:$C$8,MATCH($P84,Summary!$B$6:$B$8,0)),0)</f>
        <v>40</v>
      </c>
      <c r="V84" s="25" t="n">
        <f aca="false">IF(AND($K84="Y",$F84&lt;&gt;"Y",OR($T84="",$T84=Summary!$C$11)),$C84*IF($H84&lt;&gt;"",$H84,$E84)*INDEX(Summary!$C$6:$C$8,MATCH($P84,Summary!$B$6:$B$8,0)),0)</f>
        <v>80</v>
      </c>
      <c r="W84" s="18" t="s">
        <v>118</v>
      </c>
      <c r="X84" s="24"/>
    </row>
    <row r="85" customFormat="false" ht="30" hidden="false" customHeight="true" outlineLevel="0" collapsed="false">
      <c r="A85" s="18" t="s">
        <v>393</v>
      </c>
      <c r="B85" s="19" t="s">
        <v>394</v>
      </c>
      <c r="C85" s="20" t="n">
        <v>1</v>
      </c>
      <c r="D85" s="21" t="n">
        <v>45</v>
      </c>
      <c r="E85" s="21" t="n">
        <v>100</v>
      </c>
      <c r="F85" s="20" t="s">
        <v>101</v>
      </c>
      <c r="G85" s="20" t="s">
        <v>101</v>
      </c>
      <c r="H85" s="22"/>
      <c r="I85" s="23" t="n">
        <f aca="false">IF(AND($K85="Y",$F85&lt;&gt;"Y",OR($T85="",$T85=Summary!$C$11)),$C85*IF($H85&lt;&gt;"",$H85,($D85+$E85)/2)*INDEX(Summary!$C$6:$C$8,MATCH($P85,Summary!$B$6:$B$8,0)),0)</f>
        <v>72.5</v>
      </c>
      <c r="J85" s="20" t="s">
        <v>102</v>
      </c>
      <c r="K85" s="20" t="s">
        <v>103</v>
      </c>
      <c r="L85" s="24" t="s">
        <v>27</v>
      </c>
      <c r="M85" s="24" t="s">
        <v>392</v>
      </c>
      <c r="N85" s="19"/>
      <c r="O85" s="18" t="s">
        <v>106</v>
      </c>
      <c r="P85" s="20" t="s">
        <v>6</v>
      </c>
      <c r="Q85" s="18" t="s">
        <v>44</v>
      </c>
      <c r="R85" s="24" t="s">
        <v>395</v>
      </c>
      <c r="S85" s="18" t="s">
        <v>40</v>
      </c>
      <c r="T85" s="18"/>
      <c r="U85" s="25" t="n">
        <f aca="false">IF(AND($K85="Y",$F85&lt;&gt;"Y",OR($T85="",$T85=Summary!$C$11)),$C85*IF($H85&lt;&gt;"",$H85,$D85)*INDEX(Summary!$C$6:$C$8,MATCH($P85,Summary!$B$6:$B$8,0)),0)</f>
        <v>45</v>
      </c>
      <c r="V85" s="25" t="n">
        <f aca="false">IF(AND($K85="Y",$F85&lt;&gt;"Y",OR($T85="",$T85=Summary!$C$11)),$C85*IF($H85&lt;&gt;"",$H85,$E85)*INDEX(Summary!$C$6:$C$8,MATCH($P85,Summary!$B$6:$B$8,0)),0)</f>
        <v>100</v>
      </c>
      <c r="W85" s="18" t="s">
        <v>118</v>
      </c>
      <c r="X85" s="24"/>
    </row>
    <row r="86" customFormat="false" ht="30" hidden="false" customHeight="true" outlineLevel="0" collapsed="false">
      <c r="A86" s="18" t="s">
        <v>396</v>
      </c>
      <c r="B86" s="19" t="s">
        <v>397</v>
      </c>
      <c r="C86" s="20" t="n">
        <v>1</v>
      </c>
      <c r="D86" s="21" t="n">
        <v>20</v>
      </c>
      <c r="E86" s="21" t="n">
        <v>60</v>
      </c>
      <c r="F86" s="20" t="s">
        <v>101</v>
      </c>
      <c r="G86" s="20" t="s">
        <v>101</v>
      </c>
      <c r="H86" s="22"/>
      <c r="I86" s="23" t="n">
        <f aca="false">IF(AND($K86="Y",$F86&lt;&gt;"Y",OR($T86="",$T86=Summary!$C$11)),$C86*IF($H86&lt;&gt;"",$H86,($D86+$E86)/2)*INDEX(Summary!$C$6:$C$8,MATCH($P86,Summary!$B$6:$B$8,0)),0)</f>
        <v>40</v>
      </c>
      <c r="J86" s="20" t="s">
        <v>157</v>
      </c>
      <c r="K86" s="20" t="s">
        <v>103</v>
      </c>
      <c r="L86" s="24" t="s">
        <v>27</v>
      </c>
      <c r="M86" s="24" t="s">
        <v>398</v>
      </c>
      <c r="N86" s="19" t="s">
        <v>399</v>
      </c>
      <c r="O86" s="18" t="s">
        <v>212</v>
      </c>
      <c r="P86" s="20" t="s">
        <v>6</v>
      </c>
      <c r="Q86" s="18" t="s">
        <v>44</v>
      </c>
      <c r="R86" s="24" t="s">
        <v>400</v>
      </c>
      <c r="S86" s="18" t="s">
        <v>40</v>
      </c>
      <c r="T86" s="18"/>
      <c r="U86" s="25" t="n">
        <f aca="false">IF(AND($K86="Y",$F86&lt;&gt;"Y",OR($T86="",$T86=Summary!$C$11)),$C86*IF($H86&lt;&gt;"",$H86,$D86)*INDEX(Summary!$C$6:$C$8,MATCH($P86,Summary!$B$6:$B$8,0)),0)</f>
        <v>20</v>
      </c>
      <c r="V86" s="25" t="n">
        <f aca="false">IF(AND($K86="Y",$F86&lt;&gt;"Y",OR($T86="",$T86=Summary!$C$11)),$C86*IF($H86&lt;&gt;"",$H86,$E86)*INDEX(Summary!$C$6:$C$8,MATCH($P86,Summary!$B$6:$B$8,0)),0)</f>
        <v>60</v>
      </c>
      <c r="W86" s="18" t="s">
        <v>118</v>
      </c>
      <c r="X86" s="24"/>
    </row>
    <row r="87" customFormat="false" ht="30" hidden="false" customHeight="true" outlineLevel="0" collapsed="false">
      <c r="A87" s="18" t="s">
        <v>401</v>
      </c>
      <c r="B87" s="19" t="s">
        <v>402</v>
      </c>
      <c r="C87" s="20" t="n">
        <v>1</v>
      </c>
      <c r="D87" s="21" t="n">
        <v>30</v>
      </c>
      <c r="E87" s="21" t="n">
        <v>60</v>
      </c>
      <c r="F87" s="20" t="s">
        <v>101</v>
      </c>
      <c r="G87" s="20" t="s">
        <v>101</v>
      </c>
      <c r="H87" s="22"/>
      <c r="I87" s="23" t="n">
        <f aca="false">IF(AND($K87="Y",$F87&lt;&gt;"Y",OR($T87="",$T87=Summary!$C$11)),$C87*IF($H87&lt;&gt;"",$H87,($D87+$E87)/2)*INDEX(Summary!$C$6:$C$8,MATCH($P87,Summary!$B$6:$B$8,0)),0)</f>
        <v>45</v>
      </c>
      <c r="J87" s="20" t="s">
        <v>102</v>
      </c>
      <c r="K87" s="20" t="s">
        <v>103</v>
      </c>
      <c r="L87" s="24" t="s">
        <v>27</v>
      </c>
      <c r="M87" s="24" t="s">
        <v>398</v>
      </c>
      <c r="N87" s="19"/>
      <c r="O87" s="18" t="s">
        <v>212</v>
      </c>
      <c r="P87" s="20" t="s">
        <v>6</v>
      </c>
      <c r="Q87" s="18" t="s">
        <v>44</v>
      </c>
      <c r="R87" s="24" t="s">
        <v>213</v>
      </c>
      <c r="S87" s="18" t="s">
        <v>40</v>
      </c>
      <c r="T87" s="18"/>
      <c r="U87" s="25" t="n">
        <f aca="false">IF(AND($K87="Y",$F87&lt;&gt;"Y",OR($T87="",$T87=Summary!$C$11)),$C87*IF($H87&lt;&gt;"",$H87,$D87)*INDEX(Summary!$C$6:$C$8,MATCH($P87,Summary!$B$6:$B$8,0)),0)</f>
        <v>30</v>
      </c>
      <c r="V87" s="25" t="n">
        <f aca="false">IF(AND($K87="Y",$F87&lt;&gt;"Y",OR($T87="",$T87=Summary!$C$11)),$C87*IF($H87&lt;&gt;"",$H87,$E87)*INDEX(Summary!$C$6:$C$8,MATCH($P87,Summary!$B$6:$B$8,0)),0)</f>
        <v>60</v>
      </c>
      <c r="W87" s="18" t="s">
        <v>118</v>
      </c>
      <c r="X87" s="24"/>
    </row>
    <row r="88" customFormat="false" ht="30" hidden="false" customHeight="true" outlineLevel="0" collapsed="false">
      <c r="A88" s="18" t="s">
        <v>403</v>
      </c>
      <c r="B88" s="19" t="s">
        <v>404</v>
      </c>
      <c r="C88" s="20" t="n">
        <v>1</v>
      </c>
      <c r="D88" s="21" t="n">
        <v>0</v>
      </c>
      <c r="E88" s="21" t="n">
        <v>60</v>
      </c>
      <c r="F88" s="20" t="s">
        <v>101</v>
      </c>
      <c r="G88" s="20" t="s">
        <v>103</v>
      </c>
      <c r="H88" s="22"/>
      <c r="I88" s="23" t="n">
        <f aca="false">IF(AND($K88="Y",$F88&lt;&gt;"Y",OR($T88="",$T88=Summary!$C$11)),$C88*IF($H88&lt;&gt;"",$H88,($D88+$E88)/2)*INDEX(Summary!$C$6:$C$8,MATCH($P88,Summary!$B$6:$B$8,0)),0)</f>
        <v>30</v>
      </c>
      <c r="J88" s="20" t="s">
        <v>157</v>
      </c>
      <c r="K88" s="20" t="s">
        <v>103</v>
      </c>
      <c r="L88" s="24" t="s">
        <v>27</v>
      </c>
      <c r="M88" s="24" t="s">
        <v>405</v>
      </c>
      <c r="N88" s="19" t="s">
        <v>406</v>
      </c>
      <c r="O88" s="18" t="s">
        <v>212</v>
      </c>
      <c r="P88" s="20" t="s">
        <v>6</v>
      </c>
      <c r="Q88" s="18" t="s">
        <v>45</v>
      </c>
      <c r="R88" s="24" t="s">
        <v>316</v>
      </c>
      <c r="S88" s="18" t="s">
        <v>40</v>
      </c>
      <c r="T88" s="18"/>
      <c r="U88" s="25" t="n">
        <f aca="false">IF(AND($K88="Y",$F88&lt;&gt;"Y",OR($T88="",$T88=Summary!$C$11)),$C88*IF($H88&lt;&gt;"",$H88,$D88)*INDEX(Summary!$C$6:$C$8,MATCH($P88,Summary!$B$6:$B$8,0)),0)</f>
        <v>0</v>
      </c>
      <c r="V88" s="25" t="n">
        <f aca="false">IF(AND($K88="Y",$F88&lt;&gt;"Y",OR($T88="",$T88=Summary!$C$11)),$C88*IF($H88&lt;&gt;"",$H88,$E88)*INDEX(Summary!$C$6:$C$8,MATCH($P88,Summary!$B$6:$B$8,0)),0)</f>
        <v>60</v>
      </c>
      <c r="W88" s="18" t="s">
        <v>118</v>
      </c>
      <c r="X88" s="24"/>
    </row>
    <row r="89" customFormat="false" ht="30" hidden="false" customHeight="true" outlineLevel="0" collapsed="false">
      <c r="A89" s="18" t="s">
        <v>407</v>
      </c>
      <c r="B89" s="19" t="s">
        <v>408</v>
      </c>
      <c r="C89" s="20" t="n">
        <v>1</v>
      </c>
      <c r="D89" s="21" t="n">
        <v>0</v>
      </c>
      <c r="E89" s="21" t="n">
        <v>80</v>
      </c>
      <c r="F89" s="20" t="s">
        <v>101</v>
      </c>
      <c r="G89" s="20" t="s">
        <v>103</v>
      </c>
      <c r="H89" s="22"/>
      <c r="I89" s="23" t="n">
        <f aca="false">IF(AND($K89="Y",$F89&lt;&gt;"Y",OR($T89="",$T89=Summary!$C$11)),$C89*IF($H89&lt;&gt;"",$H89,($D89+$E89)/2)*INDEX(Summary!$C$6:$C$8,MATCH($P89,Summary!$B$6:$B$8,0)),0)</f>
        <v>40</v>
      </c>
      <c r="J89" s="20" t="s">
        <v>157</v>
      </c>
      <c r="K89" s="20" t="s">
        <v>103</v>
      </c>
      <c r="L89" s="24" t="s">
        <v>27</v>
      </c>
      <c r="M89" s="24" t="s">
        <v>409</v>
      </c>
      <c r="N89" s="19" t="s">
        <v>410</v>
      </c>
      <c r="O89" s="18" t="s">
        <v>106</v>
      </c>
      <c r="P89" s="20" t="s">
        <v>6</v>
      </c>
      <c r="Q89" s="18" t="s">
        <v>45</v>
      </c>
      <c r="R89" s="24" t="s">
        <v>7</v>
      </c>
      <c r="S89" s="18" t="s">
        <v>40</v>
      </c>
      <c r="T89" s="18" t="s">
        <v>15</v>
      </c>
      <c r="U89" s="25" t="n">
        <f aca="false">IF(AND($K89="Y",$F89&lt;&gt;"Y",OR($T89="",$T89=Summary!$C$11)),$C89*IF($H89&lt;&gt;"",$H89,$D89)*INDEX(Summary!$C$6:$C$8,MATCH($P89,Summary!$B$6:$B$8,0)),0)</f>
        <v>0</v>
      </c>
      <c r="V89" s="25" t="n">
        <f aca="false">IF(AND($K89="Y",$F89&lt;&gt;"Y",OR($T89="",$T89=Summary!$C$11)),$C89*IF($H89&lt;&gt;"",$H89,$E89)*INDEX(Summary!$C$6:$C$8,MATCH($P89,Summary!$B$6:$B$8,0)),0)</f>
        <v>80</v>
      </c>
      <c r="W89" s="18" t="s">
        <v>118</v>
      </c>
      <c r="X89" s="24"/>
    </row>
    <row r="90" customFormat="false" ht="30" hidden="false" customHeight="true" outlineLevel="0" collapsed="false">
      <c r="A90" s="18" t="s">
        <v>411</v>
      </c>
      <c r="B90" s="19" t="s">
        <v>412</v>
      </c>
      <c r="C90" s="20" t="n">
        <v>1</v>
      </c>
      <c r="D90" s="21" t="n">
        <v>0</v>
      </c>
      <c r="E90" s="21" t="n">
        <v>100</v>
      </c>
      <c r="F90" s="20" t="s">
        <v>101</v>
      </c>
      <c r="G90" s="20" t="s">
        <v>103</v>
      </c>
      <c r="H90" s="22"/>
      <c r="I90" s="23" t="n">
        <f aca="false">IF(AND($K90="Y",$F90&lt;&gt;"Y",OR($T90="",$T90=Summary!$C$11)),$C90*IF($H90&lt;&gt;"",$H90,($D90+$E90)/2)*INDEX(Summary!$C$6:$C$8,MATCH($P90,Summary!$B$6:$B$8,0)),0)</f>
        <v>50</v>
      </c>
      <c r="J90" s="20" t="s">
        <v>157</v>
      </c>
      <c r="K90" s="20" t="s">
        <v>103</v>
      </c>
      <c r="L90" s="24" t="s">
        <v>27</v>
      </c>
      <c r="M90" s="24" t="s">
        <v>413</v>
      </c>
      <c r="N90" s="19" t="s">
        <v>414</v>
      </c>
      <c r="O90" s="18" t="s">
        <v>212</v>
      </c>
      <c r="P90" s="20" t="s">
        <v>6</v>
      </c>
      <c r="Q90" s="18" t="s">
        <v>45</v>
      </c>
      <c r="R90" s="24" t="s">
        <v>7</v>
      </c>
      <c r="S90" s="18" t="s">
        <v>40</v>
      </c>
      <c r="T90" s="18"/>
      <c r="U90" s="25" t="n">
        <f aca="false">IF(AND($K90="Y",$F90&lt;&gt;"Y",OR($T90="",$T90=Summary!$C$11)),$C90*IF($H90&lt;&gt;"",$H90,$D90)*INDEX(Summary!$C$6:$C$8,MATCH($P90,Summary!$B$6:$B$8,0)),0)</f>
        <v>0</v>
      </c>
      <c r="V90" s="25" t="n">
        <f aca="false">IF(AND($K90="Y",$F90&lt;&gt;"Y",OR($T90="",$T90=Summary!$C$11)),$C90*IF($H90&lt;&gt;"",$H90,$E90)*INDEX(Summary!$C$6:$C$8,MATCH($P90,Summary!$B$6:$B$8,0)),0)</f>
        <v>100</v>
      </c>
      <c r="W90" s="18" t="s">
        <v>118</v>
      </c>
      <c r="X90" s="24"/>
    </row>
    <row r="91" customFormat="false" ht="30" hidden="false" customHeight="true" outlineLevel="0" collapsed="false">
      <c r="A91" s="18" t="s">
        <v>415</v>
      </c>
      <c r="B91" s="19" t="s">
        <v>416</v>
      </c>
      <c r="C91" s="20" t="n">
        <v>1</v>
      </c>
      <c r="D91" s="21" t="n">
        <v>20</v>
      </c>
      <c r="E91" s="21" t="n">
        <v>40</v>
      </c>
      <c r="F91" s="20" t="s">
        <v>101</v>
      </c>
      <c r="G91" s="20" t="s">
        <v>101</v>
      </c>
      <c r="H91" s="22"/>
      <c r="I91" s="23" t="n">
        <f aca="false">IF(AND($K91="Y",$F91&lt;&gt;"Y",OR($T91="",$T91=Summary!$C$11)),$C91*IF($H91&lt;&gt;"",$H91,($D91+$E91)/2)*INDEX(Summary!$C$6:$C$8,MATCH($P91,Summary!$B$6:$B$8,0)),0)</f>
        <v>30</v>
      </c>
      <c r="J91" s="20" t="s">
        <v>102</v>
      </c>
      <c r="K91" s="20" t="s">
        <v>103</v>
      </c>
      <c r="L91" s="24" t="s">
        <v>27</v>
      </c>
      <c r="M91" s="24" t="s">
        <v>417</v>
      </c>
      <c r="N91" s="19"/>
      <c r="O91" s="18" t="s">
        <v>212</v>
      </c>
      <c r="P91" s="20" t="s">
        <v>6</v>
      </c>
      <c r="Q91" s="18" t="s">
        <v>44</v>
      </c>
      <c r="R91" s="24" t="s">
        <v>213</v>
      </c>
      <c r="S91" s="18" t="s">
        <v>40</v>
      </c>
      <c r="T91" s="18"/>
      <c r="U91" s="25" t="n">
        <f aca="false">IF(AND($K91="Y",$F91&lt;&gt;"Y",OR($T91="",$T91=Summary!$C$11)),$C91*IF($H91&lt;&gt;"",$H91,$D91)*INDEX(Summary!$C$6:$C$8,MATCH($P91,Summary!$B$6:$B$8,0)),0)</f>
        <v>20</v>
      </c>
      <c r="V91" s="25" t="n">
        <f aca="false">IF(AND($K91="Y",$F91&lt;&gt;"Y",OR($T91="",$T91=Summary!$C$11)),$C91*IF($H91&lt;&gt;"",$H91,$E91)*INDEX(Summary!$C$6:$C$8,MATCH($P91,Summary!$B$6:$B$8,0)),0)</f>
        <v>40</v>
      </c>
      <c r="W91" s="18" t="s">
        <v>118</v>
      </c>
      <c r="X91" s="24"/>
    </row>
    <row r="92" customFormat="false" ht="30" hidden="false" customHeight="true" outlineLevel="0" collapsed="false">
      <c r="A92" s="18" t="s">
        <v>418</v>
      </c>
      <c r="B92" s="19" t="s">
        <v>419</v>
      </c>
      <c r="C92" s="20" t="n">
        <v>1</v>
      </c>
      <c r="D92" s="21" t="n">
        <v>2415</v>
      </c>
      <c r="E92" s="21" t="n">
        <v>3265</v>
      </c>
      <c r="F92" s="20" t="s">
        <v>101</v>
      </c>
      <c r="G92" s="20" t="s">
        <v>101</v>
      </c>
      <c r="H92" s="22"/>
      <c r="I92" s="23" t="n">
        <f aca="false">IF(AND($K92="Y",$F92&lt;&gt;"Y",OR($T92="",$T92=Summary!$C$11)),$C92*IF($H92&lt;&gt;"",$H92,($D92+$E92)/2)*INDEX(Summary!$C$6:$C$8,MATCH($P92,Summary!$B$6:$B$8,0)),0)</f>
        <v>2840</v>
      </c>
      <c r="J92" s="20" t="s">
        <v>102</v>
      </c>
      <c r="K92" s="20" t="s">
        <v>103</v>
      </c>
      <c r="L92" s="24" t="s">
        <v>28</v>
      </c>
      <c r="M92" s="24" t="s">
        <v>420</v>
      </c>
      <c r="N92" s="19" t="s">
        <v>421</v>
      </c>
      <c r="O92" s="18" t="s">
        <v>106</v>
      </c>
      <c r="P92" s="20" t="s">
        <v>6</v>
      </c>
      <c r="Q92" s="18" t="s">
        <v>44</v>
      </c>
      <c r="R92" s="24" t="s">
        <v>422</v>
      </c>
      <c r="S92" s="18" t="s">
        <v>41</v>
      </c>
      <c r="T92" s="18"/>
      <c r="U92" s="25" t="n">
        <f aca="false">IF(AND($K92="Y",$F92&lt;&gt;"Y",OR($T92="",$T92=Summary!$C$11)),$C92*IF($H92&lt;&gt;"",$H92,$D92)*INDEX(Summary!$C$6:$C$8,MATCH($P92,Summary!$B$6:$B$8,0)),0)</f>
        <v>2415</v>
      </c>
      <c r="V92" s="25" t="n">
        <f aca="false">IF(AND($K92="Y",$F92&lt;&gt;"Y",OR($T92="",$T92=Summary!$C$11)),$C92*IF($H92&lt;&gt;"",$H92,$E92)*INDEX(Summary!$C$6:$C$8,MATCH($P92,Summary!$B$6:$B$8,0)),0)</f>
        <v>3265</v>
      </c>
      <c r="W92" s="18" t="s">
        <v>118</v>
      </c>
      <c r="X92" s="26" t="s">
        <v>423</v>
      </c>
    </row>
    <row r="93" customFormat="false" ht="30" hidden="false" customHeight="true" outlineLevel="0" collapsed="false">
      <c r="A93" s="18" t="s">
        <v>424</v>
      </c>
      <c r="B93" s="19" t="s">
        <v>425</v>
      </c>
      <c r="C93" s="20" t="n">
        <v>1</v>
      </c>
      <c r="D93" s="21" t="n">
        <v>85</v>
      </c>
      <c r="E93" s="21" t="n">
        <v>170</v>
      </c>
      <c r="F93" s="20" t="s">
        <v>101</v>
      </c>
      <c r="G93" s="20" t="s">
        <v>101</v>
      </c>
      <c r="H93" s="22"/>
      <c r="I93" s="23" t="n">
        <f aca="false">IF(AND($K93="Y",$F93&lt;&gt;"Y",OR($T93="",$T93=Summary!$C$11)),$C93*IF($H93&lt;&gt;"",$H93,($D93+$E93)/2)*INDEX(Summary!$C$6:$C$8,MATCH($P93,Summary!$B$6:$B$8,0)),0)</f>
        <v>127.5</v>
      </c>
      <c r="J93" s="20" t="s">
        <v>102</v>
      </c>
      <c r="K93" s="20" t="s">
        <v>103</v>
      </c>
      <c r="L93" s="24" t="s">
        <v>28</v>
      </c>
      <c r="M93" s="24" t="s">
        <v>420</v>
      </c>
      <c r="N93" s="19" t="s">
        <v>426</v>
      </c>
      <c r="O93" s="18" t="s">
        <v>140</v>
      </c>
      <c r="P93" s="20" t="s">
        <v>6</v>
      </c>
      <c r="Q93" s="18" t="s">
        <v>44</v>
      </c>
      <c r="R93" s="24" t="s">
        <v>427</v>
      </c>
      <c r="S93" s="18" t="s">
        <v>41</v>
      </c>
      <c r="T93" s="18"/>
      <c r="U93" s="25" t="n">
        <f aca="false">IF(AND($K93="Y",$F93&lt;&gt;"Y",OR($T93="",$T93=Summary!$C$11)),$C93*IF($H93&lt;&gt;"",$H93,$D93)*INDEX(Summary!$C$6:$C$8,MATCH($P93,Summary!$B$6:$B$8,0)),0)</f>
        <v>85</v>
      </c>
      <c r="V93" s="25" t="n">
        <f aca="false">IF(AND($K93="Y",$F93&lt;&gt;"Y",OR($T93="",$T93=Summary!$C$11)),$C93*IF($H93&lt;&gt;"",$H93,$E93)*INDEX(Summary!$C$6:$C$8,MATCH($P93,Summary!$B$6:$B$8,0)),0)</f>
        <v>170</v>
      </c>
      <c r="W93" s="18" t="s">
        <v>118</v>
      </c>
      <c r="X93" s="24"/>
    </row>
    <row r="94" customFormat="false" ht="30" hidden="false" customHeight="true" outlineLevel="0" collapsed="false">
      <c r="A94" s="18" t="s">
        <v>428</v>
      </c>
      <c r="B94" s="19" t="s">
        <v>429</v>
      </c>
      <c r="C94" s="20" t="n">
        <v>1</v>
      </c>
      <c r="D94" s="21" t="n">
        <v>30</v>
      </c>
      <c r="E94" s="21" t="n">
        <v>85</v>
      </c>
      <c r="F94" s="20" t="s">
        <v>101</v>
      </c>
      <c r="G94" s="20" t="s">
        <v>101</v>
      </c>
      <c r="H94" s="22"/>
      <c r="I94" s="23" t="n">
        <f aca="false">IF(AND($K94="Y",$F94&lt;&gt;"Y",OR($T94="",$T94=Summary!$C$11)),$C94*IF($H94&lt;&gt;"",$H94,($D94+$E94)/2)*INDEX(Summary!$C$6:$C$8,MATCH($P94,Summary!$B$6:$B$8,0)),0)</f>
        <v>57.5</v>
      </c>
      <c r="J94" s="20" t="s">
        <v>102</v>
      </c>
      <c r="K94" s="20" t="s">
        <v>103</v>
      </c>
      <c r="L94" s="24" t="s">
        <v>28</v>
      </c>
      <c r="M94" s="24" t="s">
        <v>420</v>
      </c>
      <c r="N94" s="19"/>
      <c r="O94" s="18" t="s">
        <v>140</v>
      </c>
      <c r="P94" s="20" t="s">
        <v>6</v>
      </c>
      <c r="Q94" s="18" t="s">
        <v>44</v>
      </c>
      <c r="R94" s="24" t="s">
        <v>427</v>
      </c>
      <c r="S94" s="18" t="s">
        <v>41</v>
      </c>
      <c r="T94" s="18"/>
      <c r="U94" s="25" t="n">
        <f aca="false">IF(AND($K94="Y",$F94&lt;&gt;"Y",OR($T94="",$T94=Summary!$C$11)),$C94*IF($H94&lt;&gt;"",$H94,$D94)*INDEX(Summary!$C$6:$C$8,MATCH($P94,Summary!$B$6:$B$8,0)),0)</f>
        <v>30</v>
      </c>
      <c r="V94" s="25" t="n">
        <f aca="false">IF(AND($K94="Y",$F94&lt;&gt;"Y",OR($T94="",$T94=Summary!$C$11)),$C94*IF($H94&lt;&gt;"",$H94,$E94)*INDEX(Summary!$C$6:$C$8,MATCH($P94,Summary!$B$6:$B$8,0)),0)</f>
        <v>85</v>
      </c>
      <c r="W94" s="18" t="s">
        <v>118</v>
      </c>
      <c r="X94" s="24"/>
    </row>
    <row r="95" customFormat="false" ht="30" hidden="false" customHeight="true" outlineLevel="0" collapsed="false">
      <c r="A95" s="18" t="s">
        <v>430</v>
      </c>
      <c r="B95" s="19" t="s">
        <v>431</v>
      </c>
      <c r="C95" s="20" t="n">
        <v>1</v>
      </c>
      <c r="D95" s="21" t="n">
        <v>640</v>
      </c>
      <c r="E95" s="21" t="n">
        <v>640</v>
      </c>
      <c r="F95" s="20" t="s">
        <v>101</v>
      </c>
      <c r="G95" s="20" t="s">
        <v>101</v>
      </c>
      <c r="H95" s="22"/>
      <c r="I95" s="23" t="n">
        <f aca="false">IF(AND($K95="Y",$F95&lt;&gt;"Y",OR($T95="",$T95=Summary!$C$11)),$C95*IF($H95&lt;&gt;"",$H95,($D95+$E95)/2)*INDEX(Summary!$C$6:$C$8,MATCH($P95,Summary!$B$6:$B$8,0)),0)</f>
        <v>0</v>
      </c>
      <c r="J95" s="20" t="s">
        <v>207</v>
      </c>
      <c r="K95" s="20" t="s">
        <v>101</v>
      </c>
      <c r="L95" s="24" t="s">
        <v>28</v>
      </c>
      <c r="M95" s="24" t="s">
        <v>432</v>
      </c>
      <c r="N95" s="19" t="s">
        <v>433</v>
      </c>
      <c r="O95" s="18" t="s">
        <v>106</v>
      </c>
      <c r="P95" s="20" t="s">
        <v>6</v>
      </c>
      <c r="Q95" s="18" t="s">
        <v>44</v>
      </c>
      <c r="R95" s="24" t="s">
        <v>434</v>
      </c>
      <c r="S95" s="18" t="s">
        <v>41</v>
      </c>
      <c r="T95" s="18"/>
      <c r="U95" s="25" t="n">
        <f aca="false">IF(AND($K95="Y",$F95&lt;&gt;"Y",OR($T95="",$T95=Summary!$C$11)),$C95*IF($H95&lt;&gt;"",$H95,$D95)*INDEX(Summary!$C$6:$C$8,MATCH($P95,Summary!$B$6:$B$8,0)),0)</f>
        <v>0</v>
      </c>
      <c r="V95" s="25" t="n">
        <f aca="false">IF(AND($K95="Y",$F95&lt;&gt;"Y",OR($T95="",$T95=Summary!$C$11)),$C95*IF($H95&lt;&gt;"",$H95,$E95)*INDEX(Summary!$C$6:$C$8,MATCH($P95,Summary!$B$6:$B$8,0)),0)</f>
        <v>0</v>
      </c>
      <c r="W95" s="18" t="s">
        <v>62</v>
      </c>
      <c r="X95" s="26" t="s">
        <v>435</v>
      </c>
    </row>
    <row r="96" customFormat="false" ht="30" hidden="false" customHeight="true" outlineLevel="0" collapsed="false">
      <c r="A96" s="18" t="s">
        <v>436</v>
      </c>
      <c r="B96" s="19" t="s">
        <v>437</v>
      </c>
      <c r="C96" s="20" t="n">
        <v>1</v>
      </c>
      <c r="D96" s="21" t="n">
        <v>710</v>
      </c>
      <c r="E96" s="21" t="n">
        <v>1420</v>
      </c>
      <c r="F96" s="20" t="s">
        <v>101</v>
      </c>
      <c r="G96" s="20" t="s">
        <v>101</v>
      </c>
      <c r="H96" s="22"/>
      <c r="I96" s="23" t="n">
        <f aca="false">IF(AND($K96="Y",$F96&lt;&gt;"Y",OR($T96="",$T96=Summary!$C$11)),$C96*IF($H96&lt;&gt;"",$H96,($D96+$E96)/2)*INDEX(Summary!$C$6:$C$8,MATCH($P96,Summary!$B$6:$B$8,0)),0)</f>
        <v>0</v>
      </c>
      <c r="J96" s="20" t="s">
        <v>207</v>
      </c>
      <c r="K96" s="20" t="s">
        <v>101</v>
      </c>
      <c r="L96" s="24" t="s">
        <v>28</v>
      </c>
      <c r="M96" s="24" t="s">
        <v>432</v>
      </c>
      <c r="N96" s="19"/>
      <c r="O96" s="18" t="s">
        <v>106</v>
      </c>
      <c r="P96" s="20" t="s">
        <v>6</v>
      </c>
      <c r="Q96" s="18" t="s">
        <v>44</v>
      </c>
      <c r="R96" s="24" t="s">
        <v>438</v>
      </c>
      <c r="S96" s="18" t="s">
        <v>41</v>
      </c>
      <c r="T96" s="18"/>
      <c r="U96" s="25" t="n">
        <f aca="false">IF(AND($K96="Y",$F96&lt;&gt;"Y",OR($T96="",$T96=Summary!$C$11)),$C96*IF($H96&lt;&gt;"",$H96,$D96)*INDEX(Summary!$C$6:$C$8,MATCH($P96,Summary!$B$6:$B$8,0)),0)</f>
        <v>0</v>
      </c>
      <c r="V96" s="25" t="n">
        <f aca="false">IF(AND($K96="Y",$F96&lt;&gt;"Y",OR($T96="",$T96=Summary!$C$11)),$C96*IF($H96&lt;&gt;"",$H96,$E96)*INDEX(Summary!$C$6:$C$8,MATCH($P96,Summary!$B$6:$B$8,0)),0)</f>
        <v>0</v>
      </c>
      <c r="W96" s="18" t="s">
        <v>118</v>
      </c>
      <c r="X96" s="24"/>
    </row>
    <row r="97" customFormat="false" ht="30" hidden="false" customHeight="true" outlineLevel="0" collapsed="false">
      <c r="A97" s="18" t="s">
        <v>439</v>
      </c>
      <c r="B97" s="19" t="s">
        <v>440</v>
      </c>
      <c r="C97" s="20" t="n">
        <v>1</v>
      </c>
      <c r="D97" s="21" t="n">
        <v>55</v>
      </c>
      <c r="E97" s="21" t="n">
        <v>130</v>
      </c>
      <c r="F97" s="20" t="s">
        <v>101</v>
      </c>
      <c r="G97" s="20" t="s">
        <v>103</v>
      </c>
      <c r="H97" s="22"/>
      <c r="I97" s="23" t="n">
        <f aca="false">IF(AND($K97="Y",$F97&lt;&gt;"Y",OR($T97="",$T97=Summary!$C$11)),$C97*IF($H97&lt;&gt;"",$H97,($D97+$E97)/2)*INDEX(Summary!$C$6:$C$8,MATCH($P97,Summary!$B$6:$B$8,0)),0)</f>
        <v>92.5</v>
      </c>
      <c r="J97" s="20" t="s">
        <v>102</v>
      </c>
      <c r="K97" s="20" t="s">
        <v>103</v>
      </c>
      <c r="L97" s="24" t="s">
        <v>28</v>
      </c>
      <c r="M97" s="24" t="s">
        <v>441</v>
      </c>
      <c r="N97" s="19" t="s">
        <v>442</v>
      </c>
      <c r="O97" s="18" t="s">
        <v>106</v>
      </c>
      <c r="P97" s="20" t="s">
        <v>6</v>
      </c>
      <c r="Q97" s="18" t="s">
        <v>45</v>
      </c>
      <c r="R97" s="24" t="s">
        <v>443</v>
      </c>
      <c r="S97" s="18" t="s">
        <v>41</v>
      </c>
      <c r="T97" s="18"/>
      <c r="U97" s="25" t="n">
        <f aca="false">IF(AND($K97="Y",$F97&lt;&gt;"Y",OR($T97="",$T97=Summary!$C$11)),$C97*IF($H97&lt;&gt;"",$H97,$D97)*INDEX(Summary!$C$6:$C$8,MATCH($P97,Summary!$B$6:$B$8,0)),0)</f>
        <v>55</v>
      </c>
      <c r="V97" s="25" t="n">
        <f aca="false">IF(AND($K97="Y",$F97&lt;&gt;"Y",OR($T97="",$T97=Summary!$C$11)),$C97*IF($H97&lt;&gt;"",$H97,$E97)*INDEX(Summary!$C$6:$C$8,MATCH($P97,Summary!$B$6:$B$8,0)),0)</f>
        <v>130</v>
      </c>
      <c r="W97" s="18" t="s">
        <v>62</v>
      </c>
      <c r="X97" s="26" t="s">
        <v>444</v>
      </c>
    </row>
    <row r="98" customFormat="false" ht="30" hidden="false" customHeight="true" outlineLevel="0" collapsed="false">
      <c r="A98" s="18" t="s">
        <v>445</v>
      </c>
      <c r="B98" s="19" t="s">
        <v>446</v>
      </c>
      <c r="C98" s="20" t="n">
        <v>10</v>
      </c>
      <c r="D98" s="21" t="n">
        <v>11</v>
      </c>
      <c r="E98" s="21" t="n">
        <v>20</v>
      </c>
      <c r="F98" s="20" t="s">
        <v>101</v>
      </c>
      <c r="G98" s="20" t="s">
        <v>101</v>
      </c>
      <c r="H98" s="22"/>
      <c r="I98" s="23" t="n">
        <f aca="false">IF(AND($K98="Y",$F98&lt;&gt;"Y",OR($T98="",$T98=Summary!$C$11)),$C98*IF($H98&lt;&gt;"",$H98,($D98+$E98)/2)*INDEX(Summary!$C$6:$C$8,MATCH($P98,Summary!$B$6:$B$8,0)),0)</f>
        <v>155</v>
      </c>
      <c r="J98" s="20" t="s">
        <v>102</v>
      </c>
      <c r="K98" s="20" t="s">
        <v>103</v>
      </c>
      <c r="L98" s="24" t="s">
        <v>28</v>
      </c>
      <c r="M98" s="24" t="s">
        <v>441</v>
      </c>
      <c r="N98" s="19" t="s">
        <v>447</v>
      </c>
      <c r="O98" s="18" t="s">
        <v>106</v>
      </c>
      <c r="P98" s="20" t="s">
        <v>6</v>
      </c>
      <c r="Q98" s="18" t="s">
        <v>44</v>
      </c>
      <c r="R98" s="24" t="s">
        <v>448</v>
      </c>
      <c r="S98" s="18" t="s">
        <v>41</v>
      </c>
      <c r="T98" s="18"/>
      <c r="U98" s="25" t="n">
        <f aca="false">IF(AND($K98="Y",$F98&lt;&gt;"Y",OR($T98="",$T98=Summary!$C$11)),$C98*IF($H98&lt;&gt;"",$H98,$D98)*INDEX(Summary!$C$6:$C$8,MATCH($P98,Summary!$B$6:$B$8,0)),0)</f>
        <v>110</v>
      </c>
      <c r="V98" s="25" t="n">
        <f aca="false">IF(AND($K98="Y",$F98&lt;&gt;"Y",OR($T98="",$T98=Summary!$C$11)),$C98*IF($H98&lt;&gt;"",$H98,$E98)*INDEX(Summary!$C$6:$C$8,MATCH($P98,Summary!$B$6:$B$8,0)),0)</f>
        <v>200</v>
      </c>
      <c r="W98" s="18" t="s">
        <v>118</v>
      </c>
      <c r="X98" s="24"/>
    </row>
    <row r="99" customFormat="false" ht="30" hidden="false" customHeight="true" outlineLevel="0" collapsed="false">
      <c r="A99" s="18" t="s">
        <v>449</v>
      </c>
      <c r="B99" s="19" t="s">
        <v>450</v>
      </c>
      <c r="C99" s="20" t="n">
        <v>1</v>
      </c>
      <c r="D99" s="21" t="n">
        <v>35</v>
      </c>
      <c r="E99" s="21" t="n">
        <v>65</v>
      </c>
      <c r="F99" s="20" t="s">
        <v>101</v>
      </c>
      <c r="G99" s="20" t="s">
        <v>101</v>
      </c>
      <c r="H99" s="22"/>
      <c r="I99" s="23" t="n">
        <f aca="false">IF(AND($K99="Y",$F99&lt;&gt;"Y",OR($T99="",$T99=Summary!$C$11)),$C99*IF($H99&lt;&gt;"",$H99,($D99+$E99)/2)*INDEX(Summary!$C$6:$C$8,MATCH($P99,Summary!$B$6:$B$8,0)),0)</f>
        <v>50</v>
      </c>
      <c r="J99" s="20" t="s">
        <v>102</v>
      </c>
      <c r="K99" s="20" t="s">
        <v>103</v>
      </c>
      <c r="L99" s="24" t="s">
        <v>28</v>
      </c>
      <c r="M99" s="24" t="s">
        <v>441</v>
      </c>
      <c r="N99" s="19"/>
      <c r="O99" s="18" t="s">
        <v>106</v>
      </c>
      <c r="P99" s="20" t="s">
        <v>6</v>
      </c>
      <c r="Q99" s="18" t="s">
        <v>44</v>
      </c>
      <c r="R99" s="24" t="s">
        <v>448</v>
      </c>
      <c r="S99" s="18" t="s">
        <v>41</v>
      </c>
      <c r="T99" s="18"/>
      <c r="U99" s="25" t="n">
        <f aca="false">IF(AND($K99="Y",$F99&lt;&gt;"Y",OR($T99="",$T99=Summary!$C$11)),$C99*IF($H99&lt;&gt;"",$H99,$D99)*INDEX(Summary!$C$6:$C$8,MATCH($P99,Summary!$B$6:$B$8,0)),0)</f>
        <v>35</v>
      </c>
      <c r="V99" s="25" t="n">
        <f aca="false">IF(AND($K99="Y",$F99&lt;&gt;"Y",OR($T99="",$T99=Summary!$C$11)),$C99*IF($H99&lt;&gt;"",$H99,$E99)*INDEX(Summary!$C$6:$C$8,MATCH($P99,Summary!$B$6:$B$8,0)),0)</f>
        <v>65</v>
      </c>
      <c r="W99" s="18" t="s">
        <v>118</v>
      </c>
      <c r="X99" s="24"/>
    </row>
    <row r="100" customFormat="false" ht="30" hidden="false" customHeight="true" outlineLevel="0" collapsed="false">
      <c r="A100" s="18" t="s">
        <v>451</v>
      </c>
      <c r="B100" s="19" t="s">
        <v>452</v>
      </c>
      <c r="C100" s="20" t="n">
        <v>1</v>
      </c>
      <c r="D100" s="21" t="n">
        <v>55</v>
      </c>
      <c r="E100" s="21" t="n">
        <v>170</v>
      </c>
      <c r="F100" s="20" t="s">
        <v>101</v>
      </c>
      <c r="G100" s="20" t="s">
        <v>101</v>
      </c>
      <c r="H100" s="22"/>
      <c r="I100" s="23" t="n">
        <f aca="false">IF(AND($K100="Y",$F100&lt;&gt;"Y",OR($T100="",$T100=Summary!$C$11)),$C100*IF($H100&lt;&gt;"",$H100,($D100+$E100)/2)*INDEX(Summary!$C$6:$C$8,MATCH($P100,Summary!$B$6:$B$8,0)),0)</f>
        <v>112.5</v>
      </c>
      <c r="J100" s="20" t="s">
        <v>157</v>
      </c>
      <c r="K100" s="20" t="s">
        <v>103</v>
      </c>
      <c r="L100" s="24" t="s">
        <v>28</v>
      </c>
      <c r="M100" s="24" t="s">
        <v>441</v>
      </c>
      <c r="N100" s="19"/>
      <c r="O100" s="18" t="s">
        <v>106</v>
      </c>
      <c r="P100" s="20" t="s">
        <v>6</v>
      </c>
      <c r="Q100" s="18" t="s">
        <v>44</v>
      </c>
      <c r="R100" s="24" t="s">
        <v>453</v>
      </c>
      <c r="S100" s="18" t="s">
        <v>41</v>
      </c>
      <c r="T100" s="18"/>
      <c r="U100" s="25" t="n">
        <f aca="false">IF(AND($K100="Y",$F100&lt;&gt;"Y",OR($T100="",$T100=Summary!$C$11)),$C100*IF($H100&lt;&gt;"",$H100,$D100)*INDEX(Summary!$C$6:$C$8,MATCH($P100,Summary!$B$6:$B$8,0)),0)</f>
        <v>55</v>
      </c>
      <c r="V100" s="25" t="n">
        <f aca="false">IF(AND($K100="Y",$F100&lt;&gt;"Y",OR($T100="",$T100=Summary!$C$11)),$C100*IF($H100&lt;&gt;"",$H100,$E100)*INDEX(Summary!$C$6:$C$8,MATCH($P100,Summary!$B$6:$B$8,0)),0)</f>
        <v>170</v>
      </c>
      <c r="W100" s="18" t="s">
        <v>118</v>
      </c>
      <c r="X100" s="24"/>
    </row>
    <row r="101" customFormat="false" ht="30" hidden="false" customHeight="true" outlineLevel="0" collapsed="false">
      <c r="A101" s="18" t="s">
        <v>454</v>
      </c>
      <c r="B101" s="19" t="s">
        <v>455</v>
      </c>
      <c r="C101" s="20" t="n">
        <v>1</v>
      </c>
      <c r="D101" s="21" t="n">
        <v>30</v>
      </c>
      <c r="E101" s="21" t="n">
        <v>70</v>
      </c>
      <c r="F101" s="20" t="s">
        <v>101</v>
      </c>
      <c r="G101" s="20" t="s">
        <v>101</v>
      </c>
      <c r="H101" s="22"/>
      <c r="I101" s="23" t="n">
        <f aca="false">IF(AND($K101="Y",$F101&lt;&gt;"Y",OR($T101="",$T101=Summary!$C$11)),$C101*IF($H101&lt;&gt;"",$H101,($D101+$E101)/2)*INDEX(Summary!$C$6:$C$8,MATCH($P101,Summary!$B$6:$B$8,0)),0)</f>
        <v>50</v>
      </c>
      <c r="J101" s="20" t="s">
        <v>102</v>
      </c>
      <c r="K101" s="20" t="s">
        <v>103</v>
      </c>
      <c r="L101" s="24" t="s">
        <v>28</v>
      </c>
      <c r="M101" s="24" t="s">
        <v>441</v>
      </c>
      <c r="N101" s="19"/>
      <c r="O101" s="18" t="s">
        <v>106</v>
      </c>
      <c r="P101" s="20" t="s">
        <v>6</v>
      </c>
      <c r="Q101" s="18" t="s">
        <v>44</v>
      </c>
      <c r="R101" s="24" t="s">
        <v>427</v>
      </c>
      <c r="S101" s="18" t="s">
        <v>41</v>
      </c>
      <c r="T101" s="18"/>
      <c r="U101" s="25" t="n">
        <f aca="false">IF(AND($K101="Y",$F101&lt;&gt;"Y",OR($T101="",$T101=Summary!$C$11)),$C101*IF($H101&lt;&gt;"",$H101,$D101)*INDEX(Summary!$C$6:$C$8,MATCH($P101,Summary!$B$6:$B$8,0)),0)</f>
        <v>30</v>
      </c>
      <c r="V101" s="25" t="n">
        <f aca="false">IF(AND($K101="Y",$F101&lt;&gt;"Y",OR($T101="",$T101=Summary!$C$11)),$C101*IF($H101&lt;&gt;"",$H101,$E101)*INDEX(Summary!$C$6:$C$8,MATCH($P101,Summary!$B$6:$B$8,0)),0)</f>
        <v>70</v>
      </c>
      <c r="W101" s="18" t="s">
        <v>118</v>
      </c>
      <c r="X101" s="24"/>
    </row>
    <row r="102" customFormat="false" ht="30" hidden="false" customHeight="true" outlineLevel="0" collapsed="false">
      <c r="A102" s="18" t="s">
        <v>456</v>
      </c>
      <c r="B102" s="19" t="s">
        <v>457</v>
      </c>
      <c r="C102" s="20" t="n">
        <v>1</v>
      </c>
      <c r="D102" s="21" t="n">
        <v>30</v>
      </c>
      <c r="E102" s="21" t="n">
        <v>55</v>
      </c>
      <c r="F102" s="20" t="s">
        <v>101</v>
      </c>
      <c r="G102" s="20" t="s">
        <v>101</v>
      </c>
      <c r="H102" s="22"/>
      <c r="I102" s="23" t="n">
        <f aca="false">IF(AND($K102="Y",$F102&lt;&gt;"Y",OR($T102="",$T102=Summary!$C$11)),$C102*IF($H102&lt;&gt;"",$H102,($D102+$E102)/2)*INDEX(Summary!$C$6:$C$8,MATCH($P102,Summary!$B$6:$B$8,0)),0)</f>
        <v>42.5</v>
      </c>
      <c r="J102" s="20" t="s">
        <v>102</v>
      </c>
      <c r="K102" s="20" t="s">
        <v>103</v>
      </c>
      <c r="L102" s="24" t="s">
        <v>28</v>
      </c>
      <c r="M102" s="24" t="s">
        <v>441</v>
      </c>
      <c r="N102" s="19"/>
      <c r="O102" s="18" t="s">
        <v>140</v>
      </c>
      <c r="P102" s="20" t="s">
        <v>6</v>
      </c>
      <c r="Q102" s="18" t="s">
        <v>44</v>
      </c>
      <c r="R102" s="24" t="s">
        <v>458</v>
      </c>
      <c r="S102" s="18" t="s">
        <v>41</v>
      </c>
      <c r="T102" s="18"/>
      <c r="U102" s="25" t="n">
        <f aca="false">IF(AND($K102="Y",$F102&lt;&gt;"Y",OR($T102="",$T102=Summary!$C$11)),$C102*IF($H102&lt;&gt;"",$H102,$D102)*INDEX(Summary!$C$6:$C$8,MATCH($P102,Summary!$B$6:$B$8,0)),0)</f>
        <v>30</v>
      </c>
      <c r="V102" s="25" t="n">
        <f aca="false">IF(AND($K102="Y",$F102&lt;&gt;"Y",OR($T102="",$T102=Summary!$C$11)),$C102*IF($H102&lt;&gt;"",$H102,$E102)*INDEX(Summary!$C$6:$C$8,MATCH($P102,Summary!$B$6:$B$8,0)),0)</f>
        <v>55</v>
      </c>
      <c r="W102" s="18" t="s">
        <v>118</v>
      </c>
      <c r="X102" s="24"/>
    </row>
    <row r="103" customFormat="false" ht="30" hidden="false" customHeight="true" outlineLevel="0" collapsed="false">
      <c r="A103" s="18" t="s">
        <v>459</v>
      </c>
      <c r="B103" s="19" t="s">
        <v>460</v>
      </c>
      <c r="C103" s="20" t="n">
        <v>1</v>
      </c>
      <c r="D103" s="21" t="n">
        <v>30</v>
      </c>
      <c r="E103" s="21" t="n">
        <v>60</v>
      </c>
      <c r="F103" s="20" t="s">
        <v>101</v>
      </c>
      <c r="G103" s="20" t="s">
        <v>101</v>
      </c>
      <c r="H103" s="22"/>
      <c r="I103" s="23" t="n">
        <f aca="false">IF(AND($K103="Y",$F103&lt;&gt;"Y",OR($T103="",$T103=Summary!$C$11)),$C103*IF($H103&lt;&gt;"",$H103,($D103+$E103)/2)*INDEX(Summary!$C$6:$C$8,MATCH($P103,Summary!$B$6:$B$8,0)),0)</f>
        <v>45</v>
      </c>
      <c r="J103" s="20" t="s">
        <v>102</v>
      </c>
      <c r="K103" s="20" t="s">
        <v>103</v>
      </c>
      <c r="L103" s="24" t="s">
        <v>28</v>
      </c>
      <c r="M103" s="24" t="s">
        <v>441</v>
      </c>
      <c r="N103" s="19"/>
      <c r="O103" s="18" t="s">
        <v>212</v>
      </c>
      <c r="P103" s="20" t="s">
        <v>6</v>
      </c>
      <c r="Q103" s="18" t="s">
        <v>44</v>
      </c>
      <c r="R103" s="24" t="s">
        <v>461</v>
      </c>
      <c r="S103" s="18" t="s">
        <v>41</v>
      </c>
      <c r="T103" s="18"/>
      <c r="U103" s="25" t="n">
        <f aca="false">IF(AND($K103="Y",$F103&lt;&gt;"Y",OR($T103="",$T103=Summary!$C$11)),$C103*IF($H103&lt;&gt;"",$H103,$D103)*INDEX(Summary!$C$6:$C$8,MATCH($P103,Summary!$B$6:$B$8,0)),0)</f>
        <v>30</v>
      </c>
      <c r="V103" s="25" t="n">
        <f aca="false">IF(AND($K103="Y",$F103&lt;&gt;"Y",OR($T103="",$T103=Summary!$C$11)),$C103*IF($H103&lt;&gt;"",$H103,$E103)*INDEX(Summary!$C$6:$C$8,MATCH($P103,Summary!$B$6:$B$8,0)),0)</f>
        <v>60</v>
      </c>
      <c r="W103" s="18" t="s">
        <v>118</v>
      </c>
      <c r="X103" s="24"/>
    </row>
    <row r="104" customFormat="false" ht="30" hidden="false" customHeight="true" outlineLevel="0" collapsed="false">
      <c r="A104" s="18" t="s">
        <v>462</v>
      </c>
      <c r="B104" s="19" t="s">
        <v>463</v>
      </c>
      <c r="C104" s="20" t="n">
        <v>1</v>
      </c>
      <c r="D104" s="21" t="n">
        <v>355</v>
      </c>
      <c r="E104" s="21" t="n">
        <v>640</v>
      </c>
      <c r="F104" s="20" t="s">
        <v>101</v>
      </c>
      <c r="G104" s="20" t="s">
        <v>101</v>
      </c>
      <c r="H104" s="22"/>
      <c r="I104" s="23" t="n">
        <f aca="false">IF(AND($K104="Y",$F104&lt;&gt;"Y",OR($T104="",$T104=Summary!$C$11)),$C104*IF($H104&lt;&gt;"",$H104,($D104+$E104)/2)*INDEX(Summary!$C$6:$C$8,MATCH($P104,Summary!$B$6:$B$8,0)),0)</f>
        <v>497.5</v>
      </c>
      <c r="J104" s="20" t="s">
        <v>102</v>
      </c>
      <c r="K104" s="20" t="s">
        <v>103</v>
      </c>
      <c r="L104" s="24" t="s">
        <v>28</v>
      </c>
      <c r="M104" s="24" t="s">
        <v>464</v>
      </c>
      <c r="N104" s="19"/>
      <c r="O104" s="18" t="s">
        <v>106</v>
      </c>
      <c r="P104" s="20" t="s">
        <v>6</v>
      </c>
      <c r="Q104" s="18" t="s">
        <v>44</v>
      </c>
      <c r="R104" s="24" t="s">
        <v>465</v>
      </c>
      <c r="S104" s="18" t="s">
        <v>41</v>
      </c>
      <c r="T104" s="18"/>
      <c r="U104" s="25" t="n">
        <f aca="false">IF(AND($K104="Y",$F104&lt;&gt;"Y",OR($T104="",$T104=Summary!$C$11)),$C104*IF($H104&lt;&gt;"",$H104,$D104)*INDEX(Summary!$C$6:$C$8,MATCH($P104,Summary!$B$6:$B$8,0)),0)</f>
        <v>355</v>
      </c>
      <c r="V104" s="25" t="n">
        <f aca="false">IF(AND($K104="Y",$F104&lt;&gt;"Y",OR($T104="",$T104=Summary!$C$11)),$C104*IF($H104&lt;&gt;"",$H104,$E104)*INDEX(Summary!$C$6:$C$8,MATCH($P104,Summary!$B$6:$B$8,0)),0)</f>
        <v>640</v>
      </c>
      <c r="W104" s="18" t="s">
        <v>118</v>
      </c>
      <c r="X104" s="24"/>
    </row>
    <row r="105" customFormat="false" ht="30" hidden="false" customHeight="true" outlineLevel="0" collapsed="false">
      <c r="A105" s="18" t="s">
        <v>466</v>
      </c>
      <c r="B105" s="19" t="s">
        <v>467</v>
      </c>
      <c r="C105" s="20" t="n">
        <v>1</v>
      </c>
      <c r="D105" s="21" t="n">
        <v>30</v>
      </c>
      <c r="E105" s="21" t="n">
        <v>70</v>
      </c>
      <c r="F105" s="20" t="s">
        <v>101</v>
      </c>
      <c r="G105" s="20" t="s">
        <v>103</v>
      </c>
      <c r="H105" s="22"/>
      <c r="I105" s="23" t="n">
        <f aca="false">IF(AND($K105="Y",$F105&lt;&gt;"Y",OR($T105="",$T105=Summary!$C$11)),$C105*IF($H105&lt;&gt;"",$H105,($D105+$E105)/2)*INDEX(Summary!$C$6:$C$8,MATCH($P105,Summary!$B$6:$B$8,0)),0)</f>
        <v>50</v>
      </c>
      <c r="J105" s="20" t="s">
        <v>102</v>
      </c>
      <c r="K105" s="20" t="s">
        <v>103</v>
      </c>
      <c r="L105" s="24" t="s">
        <v>28</v>
      </c>
      <c r="M105" s="24" t="s">
        <v>464</v>
      </c>
      <c r="N105" s="19"/>
      <c r="O105" s="18" t="s">
        <v>106</v>
      </c>
      <c r="P105" s="20" t="s">
        <v>6</v>
      </c>
      <c r="Q105" s="18" t="s">
        <v>45</v>
      </c>
      <c r="R105" s="24" t="s">
        <v>468</v>
      </c>
      <c r="S105" s="18" t="s">
        <v>41</v>
      </c>
      <c r="T105" s="18"/>
      <c r="U105" s="25" t="n">
        <f aca="false">IF(AND($K105="Y",$F105&lt;&gt;"Y",OR($T105="",$T105=Summary!$C$11)),$C105*IF($H105&lt;&gt;"",$H105,$D105)*INDEX(Summary!$C$6:$C$8,MATCH($P105,Summary!$B$6:$B$8,0)),0)</f>
        <v>30</v>
      </c>
      <c r="V105" s="25" t="n">
        <f aca="false">IF(AND($K105="Y",$F105&lt;&gt;"Y",OR($T105="",$T105=Summary!$C$11)),$C105*IF($H105&lt;&gt;"",$H105,$E105)*INDEX(Summary!$C$6:$C$8,MATCH($P105,Summary!$B$6:$B$8,0)),0)</f>
        <v>70</v>
      </c>
      <c r="W105" s="18" t="s">
        <v>118</v>
      </c>
      <c r="X105" s="24"/>
    </row>
    <row r="106" customFormat="false" ht="30" hidden="false" customHeight="true" outlineLevel="0" collapsed="false">
      <c r="A106" s="18" t="s">
        <v>469</v>
      </c>
      <c r="B106" s="19" t="s">
        <v>470</v>
      </c>
      <c r="C106" s="20" t="n">
        <v>1</v>
      </c>
      <c r="D106" s="21" t="n">
        <v>140</v>
      </c>
      <c r="E106" s="21" t="n">
        <v>355</v>
      </c>
      <c r="F106" s="20" t="s">
        <v>101</v>
      </c>
      <c r="G106" s="20" t="s">
        <v>101</v>
      </c>
      <c r="H106" s="22"/>
      <c r="I106" s="23" t="n">
        <f aca="false">IF(AND($K106="Y",$F106&lt;&gt;"Y",OR($T106="",$T106=Summary!$C$11)),$C106*IF($H106&lt;&gt;"",$H106,($D106+$E106)/2)*INDEX(Summary!$C$6:$C$8,MATCH($P106,Summary!$B$6:$B$8,0)),0)</f>
        <v>247.5</v>
      </c>
      <c r="J106" s="20" t="s">
        <v>102</v>
      </c>
      <c r="K106" s="20" t="s">
        <v>103</v>
      </c>
      <c r="L106" s="24" t="s">
        <v>28</v>
      </c>
      <c r="M106" s="24" t="s">
        <v>471</v>
      </c>
      <c r="N106" s="19"/>
      <c r="O106" s="18" t="s">
        <v>106</v>
      </c>
      <c r="P106" s="20" t="s">
        <v>6</v>
      </c>
      <c r="Q106" s="18" t="s">
        <v>44</v>
      </c>
      <c r="R106" s="24" t="s">
        <v>472</v>
      </c>
      <c r="S106" s="18" t="s">
        <v>41</v>
      </c>
      <c r="T106" s="18"/>
      <c r="U106" s="25" t="n">
        <f aca="false">IF(AND($K106="Y",$F106&lt;&gt;"Y",OR($T106="",$T106=Summary!$C$11)),$C106*IF($H106&lt;&gt;"",$H106,$D106)*INDEX(Summary!$C$6:$C$8,MATCH($P106,Summary!$B$6:$B$8,0)),0)</f>
        <v>140</v>
      </c>
      <c r="V106" s="25" t="n">
        <f aca="false">IF(AND($K106="Y",$F106&lt;&gt;"Y",OR($T106="",$T106=Summary!$C$11)),$C106*IF($H106&lt;&gt;"",$H106,$E106)*INDEX(Summary!$C$6:$C$8,MATCH($P106,Summary!$B$6:$B$8,0)),0)</f>
        <v>355</v>
      </c>
      <c r="W106" s="18" t="s">
        <v>118</v>
      </c>
      <c r="X106" s="24"/>
    </row>
    <row r="107" customFormat="false" ht="30" hidden="false" customHeight="true" outlineLevel="0" collapsed="false">
      <c r="A107" s="18" t="s">
        <v>473</v>
      </c>
      <c r="B107" s="19" t="s">
        <v>474</v>
      </c>
      <c r="C107" s="20" t="n">
        <v>1</v>
      </c>
      <c r="D107" s="21" t="n">
        <v>115</v>
      </c>
      <c r="E107" s="21" t="n">
        <v>225</v>
      </c>
      <c r="F107" s="20" t="s">
        <v>101</v>
      </c>
      <c r="G107" s="20" t="s">
        <v>101</v>
      </c>
      <c r="H107" s="22"/>
      <c r="I107" s="23" t="n">
        <f aca="false">IF(AND($K107="Y",$F107&lt;&gt;"Y",OR($T107="",$T107=Summary!$C$11)),$C107*IF($H107&lt;&gt;"",$H107,($D107+$E107)/2)*INDEX(Summary!$C$6:$C$8,MATCH($P107,Summary!$B$6:$B$8,0)),0)</f>
        <v>170</v>
      </c>
      <c r="J107" s="20" t="s">
        <v>102</v>
      </c>
      <c r="K107" s="20" t="s">
        <v>103</v>
      </c>
      <c r="L107" s="24" t="s">
        <v>28</v>
      </c>
      <c r="M107" s="24" t="s">
        <v>475</v>
      </c>
      <c r="N107" s="19"/>
      <c r="O107" s="18" t="s">
        <v>212</v>
      </c>
      <c r="P107" s="20" t="s">
        <v>6</v>
      </c>
      <c r="Q107" s="18" t="s">
        <v>44</v>
      </c>
      <c r="R107" s="24" t="s">
        <v>448</v>
      </c>
      <c r="S107" s="18" t="s">
        <v>41</v>
      </c>
      <c r="T107" s="18"/>
      <c r="U107" s="25" t="n">
        <f aca="false">IF(AND($K107="Y",$F107&lt;&gt;"Y",OR($T107="",$T107=Summary!$C$11)),$C107*IF($H107&lt;&gt;"",$H107,$D107)*INDEX(Summary!$C$6:$C$8,MATCH($P107,Summary!$B$6:$B$8,0)),0)</f>
        <v>115</v>
      </c>
      <c r="V107" s="25" t="n">
        <f aca="false">IF(AND($K107="Y",$F107&lt;&gt;"Y",OR($T107="",$T107=Summary!$C$11)),$C107*IF($H107&lt;&gt;"",$H107,$E107)*INDEX(Summary!$C$6:$C$8,MATCH($P107,Summary!$B$6:$B$8,0)),0)</f>
        <v>225</v>
      </c>
      <c r="W107" s="18" t="s">
        <v>118</v>
      </c>
      <c r="X107" s="24"/>
    </row>
    <row r="108" customFormat="false" ht="30" hidden="false" customHeight="true" outlineLevel="0" collapsed="false">
      <c r="A108" s="18" t="s">
        <v>476</v>
      </c>
      <c r="B108" s="19" t="s">
        <v>477</v>
      </c>
      <c r="C108" s="20" t="n">
        <v>2</v>
      </c>
      <c r="D108" s="21" t="n">
        <v>35</v>
      </c>
      <c r="E108" s="21" t="n">
        <v>65</v>
      </c>
      <c r="F108" s="20" t="s">
        <v>101</v>
      </c>
      <c r="G108" s="20" t="s">
        <v>101</v>
      </c>
      <c r="H108" s="22"/>
      <c r="I108" s="23" t="n">
        <f aca="false">IF(AND($K108="Y",$F108&lt;&gt;"Y",OR($T108="",$T108=Summary!$C$11)),$C108*IF($H108&lt;&gt;"",$H108,($D108+$E108)/2)*INDEX(Summary!$C$6:$C$8,MATCH($P108,Summary!$B$6:$B$8,0)),0)</f>
        <v>100</v>
      </c>
      <c r="J108" s="20" t="s">
        <v>102</v>
      </c>
      <c r="K108" s="20" t="s">
        <v>103</v>
      </c>
      <c r="L108" s="24" t="s">
        <v>28</v>
      </c>
      <c r="M108" s="24" t="s">
        <v>475</v>
      </c>
      <c r="N108" s="19"/>
      <c r="O108" s="18" t="s">
        <v>140</v>
      </c>
      <c r="P108" s="20" t="s">
        <v>6</v>
      </c>
      <c r="Q108" s="18" t="s">
        <v>44</v>
      </c>
      <c r="R108" s="24" t="s">
        <v>468</v>
      </c>
      <c r="S108" s="18" t="s">
        <v>41</v>
      </c>
      <c r="T108" s="18"/>
      <c r="U108" s="25" t="n">
        <f aca="false">IF(AND($K108="Y",$F108&lt;&gt;"Y",OR($T108="",$T108=Summary!$C$11)),$C108*IF($H108&lt;&gt;"",$H108,$D108)*INDEX(Summary!$C$6:$C$8,MATCH($P108,Summary!$B$6:$B$8,0)),0)</f>
        <v>70</v>
      </c>
      <c r="V108" s="25" t="n">
        <f aca="false">IF(AND($K108="Y",$F108&lt;&gt;"Y",OR($T108="",$T108=Summary!$C$11)),$C108*IF($H108&lt;&gt;"",$H108,$E108)*INDEX(Summary!$C$6:$C$8,MATCH($P108,Summary!$B$6:$B$8,0)),0)</f>
        <v>130</v>
      </c>
      <c r="W108" s="18" t="s">
        <v>118</v>
      </c>
      <c r="X108" s="24"/>
    </row>
    <row r="109" customFormat="false" ht="30" hidden="false" customHeight="true" outlineLevel="0" collapsed="false">
      <c r="A109" s="18" t="s">
        <v>478</v>
      </c>
      <c r="B109" s="19" t="s">
        <v>479</v>
      </c>
      <c r="C109" s="20" t="n">
        <v>1</v>
      </c>
      <c r="D109" s="21" t="n">
        <v>45</v>
      </c>
      <c r="E109" s="21" t="n">
        <v>85</v>
      </c>
      <c r="F109" s="20" t="s">
        <v>101</v>
      </c>
      <c r="G109" s="20" t="s">
        <v>101</v>
      </c>
      <c r="H109" s="22"/>
      <c r="I109" s="23" t="n">
        <f aca="false">IF(AND($K109="Y",$F109&lt;&gt;"Y",OR($T109="",$T109=Summary!$C$11)),$C109*IF($H109&lt;&gt;"",$H109,($D109+$E109)/2)*INDEX(Summary!$C$6:$C$8,MATCH($P109,Summary!$B$6:$B$8,0)),0)</f>
        <v>65</v>
      </c>
      <c r="J109" s="20" t="s">
        <v>102</v>
      </c>
      <c r="K109" s="20" t="s">
        <v>103</v>
      </c>
      <c r="L109" s="24" t="s">
        <v>28</v>
      </c>
      <c r="M109" s="24" t="s">
        <v>475</v>
      </c>
      <c r="N109" s="19"/>
      <c r="O109" s="18" t="s">
        <v>106</v>
      </c>
      <c r="P109" s="20" t="s">
        <v>6</v>
      </c>
      <c r="Q109" s="18" t="s">
        <v>44</v>
      </c>
      <c r="R109" s="24" t="s">
        <v>468</v>
      </c>
      <c r="S109" s="18" t="s">
        <v>41</v>
      </c>
      <c r="T109" s="18"/>
      <c r="U109" s="25" t="n">
        <f aca="false">IF(AND($K109="Y",$F109&lt;&gt;"Y",OR($T109="",$T109=Summary!$C$11)),$C109*IF($H109&lt;&gt;"",$H109,$D109)*INDEX(Summary!$C$6:$C$8,MATCH($P109,Summary!$B$6:$B$8,0)),0)</f>
        <v>45</v>
      </c>
      <c r="V109" s="25" t="n">
        <f aca="false">IF(AND($K109="Y",$F109&lt;&gt;"Y",OR($T109="",$T109=Summary!$C$11)),$C109*IF($H109&lt;&gt;"",$H109,$E109)*INDEX(Summary!$C$6:$C$8,MATCH($P109,Summary!$B$6:$B$8,0)),0)</f>
        <v>85</v>
      </c>
      <c r="W109" s="18" t="s">
        <v>118</v>
      </c>
      <c r="X109" s="24"/>
    </row>
    <row r="110" customFormat="false" ht="30" hidden="false" customHeight="true" outlineLevel="0" collapsed="false">
      <c r="A110" s="18" t="s">
        <v>480</v>
      </c>
      <c r="B110" s="19" t="s">
        <v>481</v>
      </c>
      <c r="C110" s="20" t="n">
        <v>2</v>
      </c>
      <c r="D110" s="21" t="n">
        <v>4</v>
      </c>
      <c r="E110" s="21" t="n">
        <v>11</v>
      </c>
      <c r="F110" s="20" t="s">
        <v>101</v>
      </c>
      <c r="G110" s="20" t="s">
        <v>101</v>
      </c>
      <c r="H110" s="22"/>
      <c r="I110" s="23" t="n">
        <f aca="false">IF(AND($K110="Y",$F110&lt;&gt;"Y",OR($T110="",$T110=Summary!$C$11)),$C110*IF($H110&lt;&gt;"",$H110,($D110+$E110)/2)*INDEX(Summary!$C$6:$C$8,MATCH($P110,Summary!$B$6:$B$8,0)),0)</f>
        <v>15</v>
      </c>
      <c r="J110" s="20" t="s">
        <v>102</v>
      </c>
      <c r="K110" s="20" t="s">
        <v>103</v>
      </c>
      <c r="L110" s="24" t="s">
        <v>28</v>
      </c>
      <c r="M110" s="24" t="s">
        <v>475</v>
      </c>
      <c r="N110" s="19" t="s">
        <v>482</v>
      </c>
      <c r="O110" s="18" t="s">
        <v>106</v>
      </c>
      <c r="P110" s="20" t="s">
        <v>6</v>
      </c>
      <c r="Q110" s="18" t="s">
        <v>44</v>
      </c>
      <c r="R110" s="24" t="s">
        <v>468</v>
      </c>
      <c r="S110" s="18" t="s">
        <v>41</v>
      </c>
      <c r="T110" s="18"/>
      <c r="U110" s="25" t="n">
        <f aca="false">IF(AND($K110="Y",$F110&lt;&gt;"Y",OR($T110="",$T110=Summary!$C$11)),$C110*IF($H110&lt;&gt;"",$H110,$D110)*INDEX(Summary!$C$6:$C$8,MATCH($P110,Summary!$B$6:$B$8,0)),0)</f>
        <v>8</v>
      </c>
      <c r="V110" s="25" t="n">
        <f aca="false">IF(AND($K110="Y",$F110&lt;&gt;"Y",OR($T110="",$T110=Summary!$C$11)),$C110*IF($H110&lt;&gt;"",$H110,$E110)*INDEX(Summary!$C$6:$C$8,MATCH($P110,Summary!$B$6:$B$8,0)),0)</f>
        <v>22</v>
      </c>
      <c r="W110" s="18" t="s">
        <v>118</v>
      </c>
      <c r="X110" s="24"/>
    </row>
    <row r="111" customFormat="false" ht="30" hidden="false" customHeight="true" outlineLevel="0" collapsed="false">
      <c r="A111" s="18" t="s">
        <v>483</v>
      </c>
      <c r="B111" s="19" t="s">
        <v>484</v>
      </c>
      <c r="C111" s="20" t="n">
        <v>1</v>
      </c>
      <c r="D111" s="21" t="n">
        <v>55</v>
      </c>
      <c r="E111" s="21" t="n">
        <v>130</v>
      </c>
      <c r="F111" s="20" t="s">
        <v>101</v>
      </c>
      <c r="G111" s="20" t="s">
        <v>101</v>
      </c>
      <c r="H111" s="22"/>
      <c r="I111" s="23" t="n">
        <f aca="false">IF(AND($K111="Y",$F111&lt;&gt;"Y",OR($T111="",$T111=Summary!$C$11)),$C111*IF($H111&lt;&gt;"",$H111,($D111+$E111)/2)*INDEX(Summary!$C$6:$C$8,MATCH($P111,Summary!$B$6:$B$8,0)),0)</f>
        <v>92.5</v>
      </c>
      <c r="J111" s="20" t="s">
        <v>102</v>
      </c>
      <c r="K111" s="20" t="s">
        <v>103</v>
      </c>
      <c r="L111" s="24" t="s">
        <v>28</v>
      </c>
      <c r="M111" s="24" t="s">
        <v>485</v>
      </c>
      <c r="N111" s="19" t="s">
        <v>486</v>
      </c>
      <c r="O111" s="18" t="s">
        <v>212</v>
      </c>
      <c r="P111" s="20" t="s">
        <v>6</v>
      </c>
      <c r="Q111" s="18" t="s">
        <v>44</v>
      </c>
      <c r="R111" s="24" t="s">
        <v>468</v>
      </c>
      <c r="S111" s="18" t="s">
        <v>41</v>
      </c>
      <c r="T111" s="18"/>
      <c r="U111" s="25" t="n">
        <f aca="false">IF(AND($K111="Y",$F111&lt;&gt;"Y",OR($T111="",$T111=Summary!$C$11)),$C111*IF($H111&lt;&gt;"",$H111,$D111)*INDEX(Summary!$C$6:$C$8,MATCH($P111,Summary!$B$6:$B$8,0)),0)</f>
        <v>55</v>
      </c>
      <c r="V111" s="25" t="n">
        <f aca="false">IF(AND($K111="Y",$F111&lt;&gt;"Y",OR($T111="",$T111=Summary!$C$11)),$C111*IF($H111&lt;&gt;"",$H111,$E111)*INDEX(Summary!$C$6:$C$8,MATCH($P111,Summary!$B$6:$B$8,0)),0)</f>
        <v>130</v>
      </c>
      <c r="W111" s="18" t="s">
        <v>118</v>
      </c>
      <c r="X111" s="24"/>
    </row>
    <row r="112" customFormat="false" ht="30" hidden="false" customHeight="true" outlineLevel="0" collapsed="false">
      <c r="A112" s="18" t="s">
        <v>487</v>
      </c>
      <c r="B112" s="19" t="s">
        <v>488</v>
      </c>
      <c r="C112" s="20" t="n">
        <v>1</v>
      </c>
      <c r="D112" s="21" t="n">
        <v>425</v>
      </c>
      <c r="E112" s="21" t="n">
        <v>850</v>
      </c>
      <c r="F112" s="20" t="s">
        <v>101</v>
      </c>
      <c r="G112" s="20" t="s">
        <v>101</v>
      </c>
      <c r="H112" s="22"/>
      <c r="I112" s="23" t="n">
        <f aca="false">IF(AND($K112="Y",$F112&lt;&gt;"Y",OR($T112="",$T112=Summary!$C$11)),$C112*IF($H112&lt;&gt;"",$H112,($D112+$E112)/2)*INDEX(Summary!$C$6:$C$8,MATCH($P112,Summary!$B$6:$B$8,0)),0)</f>
        <v>0</v>
      </c>
      <c r="J112" s="20" t="s">
        <v>207</v>
      </c>
      <c r="K112" s="20" t="s">
        <v>101</v>
      </c>
      <c r="L112" s="24" t="s">
        <v>28</v>
      </c>
      <c r="M112" s="24" t="s">
        <v>485</v>
      </c>
      <c r="N112" s="19"/>
      <c r="O112" s="18" t="s">
        <v>212</v>
      </c>
      <c r="P112" s="20" t="s">
        <v>6</v>
      </c>
      <c r="Q112" s="18" t="s">
        <v>44</v>
      </c>
      <c r="R112" s="24" t="s">
        <v>489</v>
      </c>
      <c r="S112" s="18" t="s">
        <v>41</v>
      </c>
      <c r="T112" s="18"/>
      <c r="U112" s="25" t="n">
        <f aca="false">IF(AND($K112="Y",$F112&lt;&gt;"Y",OR($T112="",$T112=Summary!$C$11)),$C112*IF($H112&lt;&gt;"",$H112,$D112)*INDEX(Summary!$C$6:$C$8,MATCH($P112,Summary!$B$6:$B$8,0)),0)</f>
        <v>0</v>
      </c>
      <c r="V112" s="25" t="n">
        <f aca="false">IF(AND($K112="Y",$F112&lt;&gt;"Y",OR($T112="",$T112=Summary!$C$11)),$C112*IF($H112&lt;&gt;"",$H112,$E112)*INDEX(Summary!$C$6:$C$8,MATCH($P112,Summary!$B$6:$B$8,0)),0)</f>
        <v>0</v>
      </c>
      <c r="W112" s="18" t="s">
        <v>118</v>
      </c>
      <c r="X112" s="24"/>
    </row>
    <row r="113" customFormat="false" ht="30" hidden="false" customHeight="true" outlineLevel="0" collapsed="false">
      <c r="A113" s="18" t="s">
        <v>490</v>
      </c>
      <c r="B113" s="19" t="s">
        <v>491</v>
      </c>
      <c r="C113" s="20" t="n">
        <v>1</v>
      </c>
      <c r="D113" s="21" t="n">
        <v>45</v>
      </c>
      <c r="E113" s="21" t="n">
        <v>85</v>
      </c>
      <c r="F113" s="20" t="s">
        <v>101</v>
      </c>
      <c r="G113" s="20" t="s">
        <v>101</v>
      </c>
      <c r="H113" s="22"/>
      <c r="I113" s="23" t="n">
        <f aca="false">IF(AND($K113="Y",$F113&lt;&gt;"Y",OR($T113="",$T113=Summary!$C$11)),$C113*IF($H113&lt;&gt;"",$H113,($D113+$E113)/2)*INDEX(Summary!$C$6:$C$8,MATCH($P113,Summary!$B$6:$B$8,0)),0)</f>
        <v>65</v>
      </c>
      <c r="J113" s="20" t="s">
        <v>102</v>
      </c>
      <c r="K113" s="20" t="s">
        <v>103</v>
      </c>
      <c r="L113" s="24" t="s">
        <v>28</v>
      </c>
      <c r="M113" s="24" t="s">
        <v>485</v>
      </c>
      <c r="N113" s="19"/>
      <c r="O113" s="18" t="s">
        <v>212</v>
      </c>
      <c r="P113" s="20" t="s">
        <v>6</v>
      </c>
      <c r="Q113" s="18" t="s">
        <v>44</v>
      </c>
      <c r="R113" s="24" t="s">
        <v>150</v>
      </c>
      <c r="S113" s="18" t="s">
        <v>41</v>
      </c>
      <c r="T113" s="18"/>
      <c r="U113" s="25" t="n">
        <f aca="false">IF(AND($K113="Y",$F113&lt;&gt;"Y",OR($T113="",$T113=Summary!$C$11)),$C113*IF($H113&lt;&gt;"",$H113,$D113)*INDEX(Summary!$C$6:$C$8,MATCH($P113,Summary!$B$6:$B$8,0)),0)</f>
        <v>45</v>
      </c>
      <c r="V113" s="25" t="n">
        <f aca="false">IF(AND($K113="Y",$F113&lt;&gt;"Y",OR($T113="",$T113=Summary!$C$11)),$C113*IF($H113&lt;&gt;"",$H113,$E113)*INDEX(Summary!$C$6:$C$8,MATCH($P113,Summary!$B$6:$B$8,0)),0)</f>
        <v>85</v>
      </c>
      <c r="W113" s="18" t="s">
        <v>118</v>
      </c>
      <c r="X113" s="24"/>
    </row>
    <row r="114" customFormat="false" ht="30" hidden="false" customHeight="true" outlineLevel="0" collapsed="false">
      <c r="A114" s="18" t="s">
        <v>492</v>
      </c>
      <c r="B114" s="19" t="s">
        <v>493</v>
      </c>
      <c r="C114" s="20" t="n">
        <v>1</v>
      </c>
      <c r="D114" s="21" t="n">
        <v>55</v>
      </c>
      <c r="E114" s="21" t="n">
        <v>130</v>
      </c>
      <c r="F114" s="20" t="s">
        <v>101</v>
      </c>
      <c r="G114" s="20" t="s">
        <v>101</v>
      </c>
      <c r="H114" s="22"/>
      <c r="I114" s="23" t="n">
        <f aca="false">IF(AND($K114="Y",$F114&lt;&gt;"Y",OR($T114="",$T114=Summary!$C$11)),$C114*IF($H114&lt;&gt;"",$H114,($D114+$E114)/2)*INDEX(Summary!$C$6:$C$8,MATCH($P114,Summary!$B$6:$B$8,0)),0)</f>
        <v>92.5</v>
      </c>
      <c r="J114" s="20" t="s">
        <v>102</v>
      </c>
      <c r="K114" s="20" t="s">
        <v>103</v>
      </c>
      <c r="L114" s="24" t="s">
        <v>28</v>
      </c>
      <c r="M114" s="24" t="s">
        <v>494</v>
      </c>
      <c r="N114" s="19"/>
      <c r="O114" s="18" t="s">
        <v>106</v>
      </c>
      <c r="P114" s="20" t="s">
        <v>6</v>
      </c>
      <c r="Q114" s="18" t="s">
        <v>44</v>
      </c>
      <c r="R114" s="24" t="s">
        <v>495</v>
      </c>
      <c r="S114" s="18" t="s">
        <v>41</v>
      </c>
      <c r="T114" s="18"/>
      <c r="U114" s="25" t="n">
        <f aca="false">IF(AND($K114="Y",$F114&lt;&gt;"Y",OR($T114="",$T114=Summary!$C$11)),$C114*IF($H114&lt;&gt;"",$H114,$D114)*INDEX(Summary!$C$6:$C$8,MATCH($P114,Summary!$B$6:$B$8,0)),0)</f>
        <v>55</v>
      </c>
      <c r="V114" s="25" t="n">
        <f aca="false">IF(AND($K114="Y",$F114&lt;&gt;"Y",OR($T114="",$T114=Summary!$C$11)),$C114*IF($H114&lt;&gt;"",$H114,$E114)*INDEX(Summary!$C$6:$C$8,MATCH($P114,Summary!$B$6:$B$8,0)),0)</f>
        <v>130</v>
      </c>
      <c r="W114" s="18" t="s">
        <v>118</v>
      </c>
      <c r="X114" s="24"/>
    </row>
    <row r="115" customFormat="false" ht="30" hidden="false" customHeight="true" outlineLevel="0" collapsed="false">
      <c r="A115" s="18" t="s">
        <v>496</v>
      </c>
      <c r="B115" s="19" t="s">
        <v>497</v>
      </c>
      <c r="C115" s="20" t="n">
        <v>1</v>
      </c>
      <c r="D115" s="21" t="n">
        <v>45</v>
      </c>
      <c r="E115" s="21" t="n">
        <v>85</v>
      </c>
      <c r="F115" s="20" t="s">
        <v>101</v>
      </c>
      <c r="G115" s="20" t="s">
        <v>101</v>
      </c>
      <c r="H115" s="22"/>
      <c r="I115" s="23" t="n">
        <f aca="false">IF(AND($K115="Y",$F115&lt;&gt;"Y",OR($T115="",$T115=Summary!$C$11)),$C115*IF($H115&lt;&gt;"",$H115,($D115+$E115)/2)*INDEX(Summary!$C$6:$C$8,MATCH($P115,Summary!$B$6:$B$8,0)),0)</f>
        <v>65</v>
      </c>
      <c r="J115" s="20" t="s">
        <v>102</v>
      </c>
      <c r="K115" s="20" t="s">
        <v>103</v>
      </c>
      <c r="L115" s="24" t="s">
        <v>28</v>
      </c>
      <c r="M115" s="24" t="s">
        <v>494</v>
      </c>
      <c r="N115" s="19" t="s">
        <v>498</v>
      </c>
      <c r="O115" s="18" t="s">
        <v>212</v>
      </c>
      <c r="P115" s="20" t="s">
        <v>6</v>
      </c>
      <c r="Q115" s="18" t="s">
        <v>44</v>
      </c>
      <c r="R115" s="24" t="s">
        <v>499</v>
      </c>
      <c r="S115" s="18" t="s">
        <v>41</v>
      </c>
      <c r="T115" s="18"/>
      <c r="U115" s="25" t="n">
        <f aca="false">IF(AND($K115="Y",$F115&lt;&gt;"Y",OR($T115="",$T115=Summary!$C$11)),$C115*IF($H115&lt;&gt;"",$H115,$D115)*INDEX(Summary!$C$6:$C$8,MATCH($P115,Summary!$B$6:$B$8,0)),0)</f>
        <v>45</v>
      </c>
      <c r="V115" s="25" t="n">
        <f aca="false">IF(AND($K115="Y",$F115&lt;&gt;"Y",OR($T115="",$T115=Summary!$C$11)),$C115*IF($H115&lt;&gt;"",$H115,$E115)*INDEX(Summary!$C$6:$C$8,MATCH($P115,Summary!$B$6:$B$8,0)),0)</f>
        <v>85</v>
      </c>
      <c r="W115" s="18" t="s">
        <v>118</v>
      </c>
      <c r="X115" s="24"/>
    </row>
    <row r="116" customFormat="false" ht="30" hidden="false" customHeight="true" outlineLevel="0" collapsed="false">
      <c r="A116" s="18" t="s">
        <v>500</v>
      </c>
      <c r="B116" s="19" t="s">
        <v>501</v>
      </c>
      <c r="C116" s="20" t="n">
        <v>1</v>
      </c>
      <c r="D116" s="21" t="n">
        <v>45</v>
      </c>
      <c r="E116" s="21" t="n">
        <v>100</v>
      </c>
      <c r="F116" s="20" t="s">
        <v>101</v>
      </c>
      <c r="G116" s="20" t="s">
        <v>101</v>
      </c>
      <c r="H116" s="22"/>
      <c r="I116" s="23" t="n">
        <f aca="false">IF(AND($K116="Y",$F116&lt;&gt;"Y",OR($T116="",$T116=Summary!$C$11)),$C116*IF($H116&lt;&gt;"",$H116,($D116+$E116)/2)*INDEX(Summary!$C$6:$C$8,MATCH($P116,Summary!$B$6:$B$8,0)),0)</f>
        <v>72.5</v>
      </c>
      <c r="J116" s="20" t="s">
        <v>102</v>
      </c>
      <c r="K116" s="20" t="s">
        <v>103</v>
      </c>
      <c r="L116" s="24" t="s">
        <v>28</v>
      </c>
      <c r="M116" s="24" t="s">
        <v>494</v>
      </c>
      <c r="N116" s="19"/>
      <c r="O116" s="18" t="s">
        <v>212</v>
      </c>
      <c r="P116" s="20" t="s">
        <v>6</v>
      </c>
      <c r="Q116" s="18" t="s">
        <v>44</v>
      </c>
      <c r="R116" s="24" t="s">
        <v>502</v>
      </c>
      <c r="S116" s="18" t="s">
        <v>41</v>
      </c>
      <c r="T116" s="18"/>
      <c r="U116" s="25" t="n">
        <f aca="false">IF(AND($K116="Y",$F116&lt;&gt;"Y",OR($T116="",$T116=Summary!$C$11)),$C116*IF($H116&lt;&gt;"",$H116,$D116)*INDEX(Summary!$C$6:$C$8,MATCH($P116,Summary!$B$6:$B$8,0)),0)</f>
        <v>45</v>
      </c>
      <c r="V116" s="25" t="n">
        <f aca="false">IF(AND($K116="Y",$F116&lt;&gt;"Y",OR($T116="",$T116=Summary!$C$11)),$C116*IF($H116&lt;&gt;"",$H116,$E116)*INDEX(Summary!$C$6:$C$8,MATCH($P116,Summary!$B$6:$B$8,0)),0)</f>
        <v>100</v>
      </c>
      <c r="W116" s="18" t="s">
        <v>118</v>
      </c>
      <c r="X116" s="24"/>
    </row>
    <row r="117" customFormat="false" ht="30" hidden="false" customHeight="true" outlineLevel="0" collapsed="false">
      <c r="A117" s="18" t="s">
        <v>503</v>
      </c>
      <c r="B117" s="19" t="s">
        <v>504</v>
      </c>
      <c r="C117" s="20" t="n">
        <v>1</v>
      </c>
      <c r="D117" s="21" t="n">
        <v>35</v>
      </c>
      <c r="E117" s="21" t="n">
        <v>65</v>
      </c>
      <c r="F117" s="20" t="s">
        <v>101</v>
      </c>
      <c r="G117" s="20" t="s">
        <v>101</v>
      </c>
      <c r="H117" s="22"/>
      <c r="I117" s="23" t="n">
        <f aca="false">IF(AND($K117="Y",$F117&lt;&gt;"Y",OR($T117="",$T117=Summary!$C$11)),$C117*IF($H117&lt;&gt;"",$H117,($D117+$E117)/2)*INDEX(Summary!$C$6:$C$8,MATCH($P117,Summary!$B$6:$B$8,0)),0)</f>
        <v>50</v>
      </c>
      <c r="J117" s="20" t="s">
        <v>102</v>
      </c>
      <c r="K117" s="20" t="s">
        <v>103</v>
      </c>
      <c r="L117" s="24" t="s">
        <v>28</v>
      </c>
      <c r="M117" s="24" t="s">
        <v>505</v>
      </c>
      <c r="N117" s="19"/>
      <c r="O117" s="18" t="s">
        <v>106</v>
      </c>
      <c r="P117" s="20" t="s">
        <v>6</v>
      </c>
      <c r="Q117" s="18" t="s">
        <v>44</v>
      </c>
      <c r="R117" s="24" t="s">
        <v>327</v>
      </c>
      <c r="S117" s="18" t="s">
        <v>41</v>
      </c>
      <c r="T117" s="18"/>
      <c r="U117" s="25" t="n">
        <f aca="false">IF(AND($K117="Y",$F117&lt;&gt;"Y",OR($T117="",$T117=Summary!$C$11)),$C117*IF($H117&lt;&gt;"",$H117,$D117)*INDEX(Summary!$C$6:$C$8,MATCH($P117,Summary!$B$6:$B$8,0)),0)</f>
        <v>35</v>
      </c>
      <c r="V117" s="25" t="n">
        <f aca="false">IF(AND($K117="Y",$F117&lt;&gt;"Y",OR($T117="",$T117=Summary!$C$11)),$C117*IF($H117&lt;&gt;"",$H117,$E117)*INDEX(Summary!$C$6:$C$8,MATCH($P117,Summary!$B$6:$B$8,0)),0)</f>
        <v>65</v>
      </c>
      <c r="W117" s="18" t="s">
        <v>118</v>
      </c>
      <c r="X117" s="24"/>
    </row>
    <row r="118" customFormat="false" ht="30" hidden="false" customHeight="true" outlineLevel="0" collapsed="false">
      <c r="A118" s="18" t="s">
        <v>506</v>
      </c>
      <c r="B118" s="19" t="s">
        <v>507</v>
      </c>
      <c r="C118" s="20" t="n">
        <v>1</v>
      </c>
      <c r="D118" s="21" t="n">
        <v>45</v>
      </c>
      <c r="E118" s="21" t="n">
        <v>85</v>
      </c>
      <c r="F118" s="20" t="s">
        <v>101</v>
      </c>
      <c r="G118" s="20" t="s">
        <v>101</v>
      </c>
      <c r="H118" s="22"/>
      <c r="I118" s="23" t="n">
        <f aca="false">IF(AND($K118="Y",$F118&lt;&gt;"Y",OR($T118="",$T118=Summary!$C$11)),$C118*IF($H118&lt;&gt;"",$H118,($D118+$E118)/2)*INDEX(Summary!$C$6:$C$8,MATCH($P118,Summary!$B$6:$B$8,0)),0)</f>
        <v>65</v>
      </c>
      <c r="J118" s="20" t="s">
        <v>102</v>
      </c>
      <c r="K118" s="20" t="s">
        <v>103</v>
      </c>
      <c r="L118" s="24" t="s">
        <v>28</v>
      </c>
      <c r="M118" s="24" t="s">
        <v>505</v>
      </c>
      <c r="N118" s="19"/>
      <c r="O118" s="18" t="s">
        <v>140</v>
      </c>
      <c r="P118" s="20" t="s">
        <v>6</v>
      </c>
      <c r="Q118" s="18" t="s">
        <v>44</v>
      </c>
      <c r="R118" s="24" t="s">
        <v>508</v>
      </c>
      <c r="S118" s="18" t="s">
        <v>41</v>
      </c>
      <c r="T118" s="18"/>
      <c r="U118" s="25" t="n">
        <f aca="false">IF(AND($K118="Y",$F118&lt;&gt;"Y",OR($T118="",$T118=Summary!$C$11)),$C118*IF($H118&lt;&gt;"",$H118,$D118)*INDEX(Summary!$C$6:$C$8,MATCH($P118,Summary!$B$6:$B$8,0)),0)</f>
        <v>45</v>
      </c>
      <c r="V118" s="25" t="n">
        <f aca="false">IF(AND($K118="Y",$F118&lt;&gt;"Y",OR($T118="",$T118=Summary!$C$11)),$C118*IF($H118&lt;&gt;"",$H118,$E118)*INDEX(Summary!$C$6:$C$8,MATCH($P118,Summary!$B$6:$B$8,0)),0)</f>
        <v>85</v>
      </c>
      <c r="W118" s="18" t="s">
        <v>118</v>
      </c>
      <c r="X118" s="24"/>
    </row>
    <row r="119" customFormat="false" ht="30" hidden="false" customHeight="true" outlineLevel="0" collapsed="false">
      <c r="A119" s="18" t="s">
        <v>509</v>
      </c>
      <c r="B119" s="19" t="s">
        <v>510</v>
      </c>
      <c r="C119" s="20" t="n">
        <v>1</v>
      </c>
      <c r="D119" s="21" t="n">
        <v>50</v>
      </c>
      <c r="E119" s="21" t="n">
        <v>100</v>
      </c>
      <c r="F119" s="20" t="s">
        <v>101</v>
      </c>
      <c r="G119" s="20" t="s">
        <v>101</v>
      </c>
      <c r="H119" s="22"/>
      <c r="I119" s="23" t="n">
        <f aca="false">IF(AND($K119="Y",$F119&lt;&gt;"Y",OR($T119="",$T119=Summary!$C$11)),$C119*IF($H119&lt;&gt;"",$H119,($D119+$E119)/2)*INDEX(Summary!$C$6:$C$8,MATCH($P119,Summary!$B$6:$B$8,0)),0)</f>
        <v>75</v>
      </c>
      <c r="J119" s="20" t="s">
        <v>102</v>
      </c>
      <c r="K119" s="20" t="s">
        <v>103</v>
      </c>
      <c r="L119" s="24" t="s">
        <v>28</v>
      </c>
      <c r="M119" s="24" t="s">
        <v>511</v>
      </c>
      <c r="N119" s="19"/>
      <c r="O119" s="18" t="s">
        <v>140</v>
      </c>
      <c r="P119" s="20" t="s">
        <v>6</v>
      </c>
      <c r="Q119" s="18" t="s">
        <v>44</v>
      </c>
      <c r="R119" s="24" t="s">
        <v>327</v>
      </c>
      <c r="S119" s="18" t="s">
        <v>41</v>
      </c>
      <c r="T119" s="18"/>
      <c r="U119" s="25" t="n">
        <f aca="false">IF(AND($K119="Y",$F119&lt;&gt;"Y",OR($T119="",$T119=Summary!$C$11)),$C119*IF($H119&lt;&gt;"",$H119,$D119)*INDEX(Summary!$C$6:$C$8,MATCH($P119,Summary!$B$6:$B$8,0)),0)</f>
        <v>50</v>
      </c>
      <c r="V119" s="25" t="n">
        <f aca="false">IF(AND($K119="Y",$F119&lt;&gt;"Y",OR($T119="",$T119=Summary!$C$11)),$C119*IF($H119&lt;&gt;"",$H119,$E119)*INDEX(Summary!$C$6:$C$8,MATCH($P119,Summary!$B$6:$B$8,0)),0)</f>
        <v>100</v>
      </c>
      <c r="W119" s="18" t="s">
        <v>118</v>
      </c>
      <c r="X119" s="24"/>
    </row>
    <row r="120" customFormat="false" ht="30" hidden="false" customHeight="true" outlineLevel="0" collapsed="false">
      <c r="A120" s="18" t="s">
        <v>512</v>
      </c>
      <c r="B120" s="19" t="s">
        <v>513</v>
      </c>
      <c r="C120" s="20" t="n">
        <v>1</v>
      </c>
      <c r="D120" s="21" t="n">
        <v>20</v>
      </c>
      <c r="E120" s="21" t="n">
        <v>45</v>
      </c>
      <c r="F120" s="20" t="s">
        <v>101</v>
      </c>
      <c r="G120" s="20" t="s">
        <v>101</v>
      </c>
      <c r="H120" s="22"/>
      <c r="I120" s="23" t="n">
        <f aca="false">IF(AND($K120="Y",$F120&lt;&gt;"Y",OR($T120="",$T120=Summary!$C$11)),$C120*IF($H120&lt;&gt;"",$H120,($D120+$E120)/2)*INDEX(Summary!$C$6:$C$8,MATCH($P120,Summary!$B$6:$B$8,0)),0)</f>
        <v>32.5</v>
      </c>
      <c r="J120" s="20" t="s">
        <v>102</v>
      </c>
      <c r="K120" s="20" t="s">
        <v>103</v>
      </c>
      <c r="L120" s="24" t="s">
        <v>28</v>
      </c>
      <c r="M120" s="24" t="s">
        <v>511</v>
      </c>
      <c r="N120" s="19"/>
      <c r="O120" s="18" t="s">
        <v>106</v>
      </c>
      <c r="P120" s="20" t="s">
        <v>6</v>
      </c>
      <c r="Q120" s="18" t="s">
        <v>44</v>
      </c>
      <c r="R120" s="24" t="s">
        <v>427</v>
      </c>
      <c r="S120" s="18" t="s">
        <v>41</v>
      </c>
      <c r="T120" s="18"/>
      <c r="U120" s="25" t="n">
        <f aca="false">IF(AND($K120="Y",$F120&lt;&gt;"Y",OR($T120="",$T120=Summary!$C$11)),$C120*IF($H120&lt;&gt;"",$H120,$D120)*INDEX(Summary!$C$6:$C$8,MATCH($P120,Summary!$B$6:$B$8,0)),0)</f>
        <v>20</v>
      </c>
      <c r="V120" s="25" t="n">
        <f aca="false">IF(AND($K120="Y",$F120&lt;&gt;"Y",OR($T120="",$T120=Summary!$C$11)),$C120*IF($H120&lt;&gt;"",$H120,$E120)*INDEX(Summary!$C$6:$C$8,MATCH($P120,Summary!$B$6:$B$8,0)),0)</f>
        <v>45</v>
      </c>
      <c r="W120" s="18" t="s">
        <v>118</v>
      </c>
      <c r="X120" s="24"/>
    </row>
    <row r="121" customFormat="false" ht="30" hidden="false" customHeight="true" outlineLevel="0" collapsed="false">
      <c r="A121" s="18" t="s">
        <v>514</v>
      </c>
      <c r="B121" s="19" t="s">
        <v>515</v>
      </c>
      <c r="C121" s="20" t="n">
        <v>1</v>
      </c>
      <c r="D121" s="21" t="n">
        <v>11</v>
      </c>
      <c r="E121" s="21" t="n">
        <v>20</v>
      </c>
      <c r="F121" s="20" t="s">
        <v>101</v>
      </c>
      <c r="G121" s="20" t="s">
        <v>101</v>
      </c>
      <c r="H121" s="22"/>
      <c r="I121" s="23" t="n">
        <f aca="false">IF(AND($K121="Y",$F121&lt;&gt;"Y",OR($T121="",$T121=Summary!$C$11)),$C121*IF($H121&lt;&gt;"",$H121,($D121+$E121)/2)*INDEX(Summary!$C$6:$C$8,MATCH($P121,Summary!$B$6:$B$8,0)),0)</f>
        <v>15.5</v>
      </c>
      <c r="J121" s="20" t="s">
        <v>102</v>
      </c>
      <c r="K121" s="20" t="s">
        <v>103</v>
      </c>
      <c r="L121" s="24" t="s">
        <v>28</v>
      </c>
      <c r="M121" s="24" t="s">
        <v>511</v>
      </c>
      <c r="N121" s="19" t="s">
        <v>516</v>
      </c>
      <c r="O121" s="18" t="s">
        <v>106</v>
      </c>
      <c r="P121" s="20" t="s">
        <v>6</v>
      </c>
      <c r="Q121" s="18" t="s">
        <v>44</v>
      </c>
      <c r="R121" s="24" t="s">
        <v>468</v>
      </c>
      <c r="S121" s="18" t="s">
        <v>41</v>
      </c>
      <c r="T121" s="18"/>
      <c r="U121" s="25" t="n">
        <f aca="false">IF(AND($K121="Y",$F121&lt;&gt;"Y",OR($T121="",$T121=Summary!$C$11)),$C121*IF($H121&lt;&gt;"",$H121,$D121)*INDEX(Summary!$C$6:$C$8,MATCH($P121,Summary!$B$6:$B$8,0)),0)</f>
        <v>11</v>
      </c>
      <c r="V121" s="25" t="n">
        <f aca="false">IF(AND($K121="Y",$F121&lt;&gt;"Y",OR($T121="",$T121=Summary!$C$11)),$C121*IF($H121&lt;&gt;"",$H121,$E121)*INDEX(Summary!$C$6:$C$8,MATCH($P121,Summary!$B$6:$B$8,0)),0)</f>
        <v>20</v>
      </c>
      <c r="W121" s="18" t="s">
        <v>118</v>
      </c>
      <c r="X121" s="24"/>
    </row>
    <row r="122" customFormat="false" ht="30" hidden="false" customHeight="true" outlineLevel="0" collapsed="false">
      <c r="A122" s="18" t="s">
        <v>517</v>
      </c>
      <c r="B122" s="19" t="s">
        <v>518</v>
      </c>
      <c r="C122" s="20" t="n">
        <v>1</v>
      </c>
      <c r="D122" s="21" t="n">
        <v>85</v>
      </c>
      <c r="E122" s="21" t="n">
        <v>185</v>
      </c>
      <c r="F122" s="20" t="s">
        <v>101</v>
      </c>
      <c r="G122" s="20" t="s">
        <v>101</v>
      </c>
      <c r="H122" s="22"/>
      <c r="I122" s="23" t="n">
        <f aca="false">IF(AND($K122="Y",$F122&lt;&gt;"Y",OR($T122="",$T122=Summary!$C$11)),$C122*IF($H122&lt;&gt;"",$H122,($D122+$E122)/2)*INDEX(Summary!$C$6:$C$8,MATCH($P122,Summary!$B$6:$B$8,0)),0)</f>
        <v>135</v>
      </c>
      <c r="J122" s="20" t="s">
        <v>102</v>
      </c>
      <c r="K122" s="20" t="s">
        <v>103</v>
      </c>
      <c r="L122" s="24" t="s">
        <v>28</v>
      </c>
      <c r="M122" s="24" t="s">
        <v>519</v>
      </c>
      <c r="N122" s="19" t="s">
        <v>520</v>
      </c>
      <c r="O122" s="18" t="s">
        <v>140</v>
      </c>
      <c r="P122" s="20" t="s">
        <v>6</v>
      </c>
      <c r="Q122" s="18" t="s">
        <v>44</v>
      </c>
      <c r="R122" s="24" t="s">
        <v>327</v>
      </c>
      <c r="S122" s="18" t="s">
        <v>41</v>
      </c>
      <c r="T122" s="18"/>
      <c r="U122" s="25" t="n">
        <f aca="false">IF(AND($K122="Y",$F122&lt;&gt;"Y",OR($T122="",$T122=Summary!$C$11)),$C122*IF($H122&lt;&gt;"",$H122,$D122)*INDEX(Summary!$C$6:$C$8,MATCH($P122,Summary!$B$6:$B$8,0)),0)</f>
        <v>85</v>
      </c>
      <c r="V122" s="25" t="n">
        <f aca="false">IF(AND($K122="Y",$F122&lt;&gt;"Y",OR($T122="",$T122=Summary!$C$11)),$C122*IF($H122&lt;&gt;"",$H122,$E122)*INDEX(Summary!$C$6:$C$8,MATCH($P122,Summary!$B$6:$B$8,0)),0)</f>
        <v>185</v>
      </c>
      <c r="W122" s="18" t="s">
        <v>118</v>
      </c>
      <c r="X122" s="24"/>
    </row>
    <row r="123" customFormat="false" ht="30" hidden="false" customHeight="true" outlineLevel="0" collapsed="false">
      <c r="A123" s="18" t="s">
        <v>521</v>
      </c>
      <c r="B123" s="19" t="s">
        <v>522</v>
      </c>
      <c r="C123" s="20" t="n">
        <v>1</v>
      </c>
      <c r="D123" s="21" t="n">
        <v>215</v>
      </c>
      <c r="E123" s="21" t="n">
        <v>495</v>
      </c>
      <c r="F123" s="20" t="s">
        <v>101</v>
      </c>
      <c r="G123" s="20" t="s">
        <v>101</v>
      </c>
      <c r="H123" s="22"/>
      <c r="I123" s="23" t="n">
        <f aca="false">IF(AND($K123="Y",$F123&lt;&gt;"Y",OR($T123="",$T123=Summary!$C$11)),$C123*IF($H123&lt;&gt;"",$H123,($D123+$E123)/2)*INDEX(Summary!$C$6:$C$8,MATCH($P123,Summary!$B$6:$B$8,0)),0)</f>
        <v>355</v>
      </c>
      <c r="J123" s="20" t="s">
        <v>102</v>
      </c>
      <c r="K123" s="20" t="s">
        <v>103</v>
      </c>
      <c r="L123" s="24" t="s">
        <v>28</v>
      </c>
      <c r="M123" s="24" t="s">
        <v>523</v>
      </c>
      <c r="N123" s="19"/>
      <c r="O123" s="18" t="s">
        <v>106</v>
      </c>
      <c r="P123" s="20" t="s">
        <v>6</v>
      </c>
      <c r="Q123" s="18" t="s">
        <v>44</v>
      </c>
      <c r="R123" s="24" t="s">
        <v>185</v>
      </c>
      <c r="S123" s="18" t="s">
        <v>41</v>
      </c>
      <c r="T123" s="18"/>
      <c r="U123" s="25" t="n">
        <f aca="false">IF(AND($K123="Y",$F123&lt;&gt;"Y",OR($T123="",$T123=Summary!$C$11)),$C123*IF($H123&lt;&gt;"",$H123,$D123)*INDEX(Summary!$C$6:$C$8,MATCH($P123,Summary!$B$6:$B$8,0)),0)</f>
        <v>215</v>
      </c>
      <c r="V123" s="25" t="n">
        <f aca="false">IF(AND($K123="Y",$F123&lt;&gt;"Y",OR($T123="",$T123=Summary!$C$11)),$C123*IF($H123&lt;&gt;"",$H123,$E123)*INDEX(Summary!$C$6:$C$8,MATCH($P123,Summary!$B$6:$B$8,0)),0)</f>
        <v>495</v>
      </c>
      <c r="W123" s="18" t="s">
        <v>118</v>
      </c>
      <c r="X123" s="24"/>
    </row>
    <row r="124" customFormat="false" ht="30" hidden="false" customHeight="true" outlineLevel="0" collapsed="false">
      <c r="A124" s="18" t="s">
        <v>524</v>
      </c>
      <c r="B124" s="19" t="s">
        <v>525</v>
      </c>
      <c r="C124" s="20" t="n">
        <v>1</v>
      </c>
      <c r="D124" s="21" t="n">
        <v>15</v>
      </c>
      <c r="E124" s="21" t="n">
        <v>30</v>
      </c>
      <c r="F124" s="20" t="s">
        <v>101</v>
      </c>
      <c r="G124" s="20" t="s">
        <v>103</v>
      </c>
      <c r="H124" s="22"/>
      <c r="I124" s="23" t="n">
        <f aca="false">IF(AND($K124="Y",$F124&lt;&gt;"Y",OR($T124="",$T124=Summary!$C$11)),$C124*IF($H124&lt;&gt;"",$H124,($D124+$E124)/2)*INDEX(Summary!$C$6:$C$8,MATCH($P124,Summary!$B$6:$B$8,0)),0)</f>
        <v>22.5</v>
      </c>
      <c r="J124" s="20" t="s">
        <v>102</v>
      </c>
      <c r="K124" s="20" t="s">
        <v>103</v>
      </c>
      <c r="L124" s="24" t="s">
        <v>28</v>
      </c>
      <c r="M124" s="24" t="s">
        <v>523</v>
      </c>
      <c r="N124" s="19"/>
      <c r="O124" s="18" t="s">
        <v>212</v>
      </c>
      <c r="P124" s="20" t="s">
        <v>6</v>
      </c>
      <c r="Q124" s="18" t="s">
        <v>45</v>
      </c>
      <c r="R124" s="24" t="s">
        <v>316</v>
      </c>
      <c r="S124" s="18" t="s">
        <v>41</v>
      </c>
      <c r="T124" s="18"/>
      <c r="U124" s="25" t="n">
        <f aca="false">IF(AND($K124="Y",$F124&lt;&gt;"Y",OR($T124="",$T124=Summary!$C$11)),$C124*IF($H124&lt;&gt;"",$H124,$D124)*INDEX(Summary!$C$6:$C$8,MATCH($P124,Summary!$B$6:$B$8,0)),0)</f>
        <v>15</v>
      </c>
      <c r="V124" s="25" t="n">
        <f aca="false">IF(AND($K124="Y",$F124&lt;&gt;"Y",OR($T124="",$T124=Summary!$C$11)),$C124*IF($H124&lt;&gt;"",$H124,$E124)*INDEX(Summary!$C$6:$C$8,MATCH($P124,Summary!$B$6:$B$8,0)),0)</f>
        <v>30</v>
      </c>
      <c r="W124" s="18" t="s">
        <v>118</v>
      </c>
      <c r="X124" s="24"/>
    </row>
    <row r="125" customFormat="false" ht="30" hidden="false" customHeight="true" outlineLevel="0" collapsed="false">
      <c r="A125" s="18" t="s">
        <v>526</v>
      </c>
      <c r="B125" s="19" t="s">
        <v>527</v>
      </c>
      <c r="C125" s="20" t="n">
        <v>2</v>
      </c>
      <c r="D125" s="21" t="n">
        <v>30</v>
      </c>
      <c r="E125" s="21" t="n">
        <v>50</v>
      </c>
      <c r="F125" s="20" t="s">
        <v>101</v>
      </c>
      <c r="G125" s="20" t="s">
        <v>101</v>
      </c>
      <c r="H125" s="22"/>
      <c r="I125" s="23" t="n">
        <f aca="false">IF(AND($K125="Y",$F125&lt;&gt;"Y",OR($T125="",$T125=Summary!$C$11)),$C125*IF($H125&lt;&gt;"",$H125,($D125+$E125)/2)*INDEX(Summary!$C$6:$C$8,MATCH($P125,Summary!$B$6:$B$8,0)),0)</f>
        <v>80</v>
      </c>
      <c r="J125" s="20" t="s">
        <v>102</v>
      </c>
      <c r="K125" s="20" t="s">
        <v>103</v>
      </c>
      <c r="L125" s="24" t="s">
        <v>28</v>
      </c>
      <c r="M125" s="24" t="s">
        <v>528</v>
      </c>
      <c r="N125" s="19"/>
      <c r="O125" s="18" t="s">
        <v>106</v>
      </c>
      <c r="P125" s="20" t="s">
        <v>6</v>
      </c>
      <c r="Q125" s="18" t="s">
        <v>44</v>
      </c>
      <c r="R125" s="24" t="s">
        <v>529</v>
      </c>
      <c r="S125" s="18" t="s">
        <v>41</v>
      </c>
      <c r="T125" s="18"/>
      <c r="U125" s="25" t="n">
        <f aca="false">IF(AND($K125="Y",$F125&lt;&gt;"Y",OR($T125="",$T125=Summary!$C$11)),$C125*IF($H125&lt;&gt;"",$H125,$D125)*INDEX(Summary!$C$6:$C$8,MATCH($P125,Summary!$B$6:$B$8,0)),0)</f>
        <v>60</v>
      </c>
      <c r="V125" s="25" t="n">
        <f aca="false">IF(AND($K125="Y",$F125&lt;&gt;"Y",OR($T125="",$T125=Summary!$C$11)),$C125*IF($H125&lt;&gt;"",$H125,$E125)*INDEX(Summary!$C$6:$C$8,MATCH($P125,Summary!$B$6:$B$8,0)),0)</f>
        <v>100</v>
      </c>
      <c r="W125" s="18" t="s">
        <v>118</v>
      </c>
      <c r="X125" s="24"/>
    </row>
    <row r="126" customFormat="false" ht="30" hidden="false" customHeight="true" outlineLevel="0" collapsed="false">
      <c r="A126" s="18" t="s">
        <v>530</v>
      </c>
      <c r="B126" s="19" t="s">
        <v>531</v>
      </c>
      <c r="C126" s="20" t="n">
        <v>6</v>
      </c>
      <c r="D126" s="21" t="n">
        <v>17</v>
      </c>
      <c r="E126" s="21" t="n">
        <v>35</v>
      </c>
      <c r="F126" s="20" t="s">
        <v>101</v>
      </c>
      <c r="G126" s="20" t="s">
        <v>101</v>
      </c>
      <c r="H126" s="22"/>
      <c r="I126" s="23" t="n">
        <f aca="false">IF(AND($K126="Y",$F126&lt;&gt;"Y",OR($T126="",$T126=Summary!$C$11)),$C126*IF($H126&lt;&gt;"",$H126,($D126+$E126)/2)*INDEX(Summary!$C$6:$C$8,MATCH($P126,Summary!$B$6:$B$8,0)),0)</f>
        <v>156</v>
      </c>
      <c r="J126" s="20" t="s">
        <v>102</v>
      </c>
      <c r="K126" s="20" t="s">
        <v>103</v>
      </c>
      <c r="L126" s="24" t="s">
        <v>28</v>
      </c>
      <c r="M126" s="24" t="s">
        <v>528</v>
      </c>
      <c r="N126" s="19"/>
      <c r="O126" s="18" t="s">
        <v>106</v>
      </c>
      <c r="P126" s="20" t="s">
        <v>6</v>
      </c>
      <c r="Q126" s="18" t="s">
        <v>44</v>
      </c>
      <c r="R126" s="24" t="s">
        <v>529</v>
      </c>
      <c r="S126" s="18" t="s">
        <v>41</v>
      </c>
      <c r="T126" s="18"/>
      <c r="U126" s="25" t="n">
        <f aca="false">IF(AND($K126="Y",$F126&lt;&gt;"Y",OR($T126="",$T126=Summary!$C$11)),$C126*IF($H126&lt;&gt;"",$H126,$D126)*INDEX(Summary!$C$6:$C$8,MATCH($P126,Summary!$B$6:$B$8,0)),0)</f>
        <v>102</v>
      </c>
      <c r="V126" s="25" t="n">
        <f aca="false">IF(AND($K126="Y",$F126&lt;&gt;"Y",OR($T126="",$T126=Summary!$C$11)),$C126*IF($H126&lt;&gt;"",$H126,$E126)*INDEX(Summary!$C$6:$C$8,MATCH($P126,Summary!$B$6:$B$8,0)),0)</f>
        <v>210</v>
      </c>
      <c r="W126" s="18" t="s">
        <v>118</v>
      </c>
      <c r="X126" s="24"/>
    </row>
    <row r="127" customFormat="false" ht="30" hidden="false" customHeight="true" outlineLevel="0" collapsed="false">
      <c r="A127" s="18" t="s">
        <v>532</v>
      </c>
      <c r="B127" s="19" t="s">
        <v>533</v>
      </c>
      <c r="C127" s="20" t="n">
        <v>8</v>
      </c>
      <c r="D127" s="21" t="n">
        <v>11</v>
      </c>
      <c r="E127" s="21" t="n">
        <v>20</v>
      </c>
      <c r="F127" s="20" t="s">
        <v>101</v>
      </c>
      <c r="G127" s="20" t="s">
        <v>101</v>
      </c>
      <c r="H127" s="22"/>
      <c r="I127" s="23" t="n">
        <f aca="false">IF(AND($K127="Y",$F127&lt;&gt;"Y",OR($T127="",$T127=Summary!$C$11)),$C127*IF($H127&lt;&gt;"",$H127,($D127+$E127)/2)*INDEX(Summary!$C$6:$C$8,MATCH($P127,Summary!$B$6:$B$8,0)),0)</f>
        <v>124</v>
      </c>
      <c r="J127" s="20" t="s">
        <v>102</v>
      </c>
      <c r="K127" s="20" t="s">
        <v>103</v>
      </c>
      <c r="L127" s="24" t="s">
        <v>28</v>
      </c>
      <c r="M127" s="24" t="s">
        <v>528</v>
      </c>
      <c r="N127" s="19"/>
      <c r="O127" s="18" t="s">
        <v>106</v>
      </c>
      <c r="P127" s="20" t="s">
        <v>6</v>
      </c>
      <c r="Q127" s="18" t="s">
        <v>44</v>
      </c>
      <c r="R127" s="24" t="s">
        <v>529</v>
      </c>
      <c r="S127" s="18" t="s">
        <v>41</v>
      </c>
      <c r="T127" s="18"/>
      <c r="U127" s="25" t="n">
        <f aca="false">IF(AND($K127="Y",$F127&lt;&gt;"Y",OR($T127="",$T127=Summary!$C$11)),$C127*IF($H127&lt;&gt;"",$H127,$D127)*INDEX(Summary!$C$6:$C$8,MATCH($P127,Summary!$B$6:$B$8,0)),0)</f>
        <v>88</v>
      </c>
      <c r="V127" s="25" t="n">
        <f aca="false">IF(AND($K127="Y",$F127&lt;&gt;"Y",OR($T127="",$T127=Summary!$C$11)),$C127*IF($H127&lt;&gt;"",$H127,$E127)*INDEX(Summary!$C$6:$C$8,MATCH($P127,Summary!$B$6:$B$8,0)),0)</f>
        <v>160</v>
      </c>
      <c r="W127" s="18" t="s">
        <v>118</v>
      </c>
      <c r="X127" s="24"/>
    </row>
    <row r="128" customFormat="false" ht="30" hidden="false" customHeight="true" outlineLevel="0" collapsed="false">
      <c r="A128" s="18" t="s">
        <v>534</v>
      </c>
      <c r="B128" s="19" t="s">
        <v>535</v>
      </c>
      <c r="C128" s="20" t="n">
        <v>16</v>
      </c>
      <c r="D128" s="21" t="n">
        <v>4</v>
      </c>
      <c r="E128" s="21" t="n">
        <v>9</v>
      </c>
      <c r="F128" s="20" t="s">
        <v>101</v>
      </c>
      <c r="G128" s="20" t="s">
        <v>101</v>
      </c>
      <c r="H128" s="22"/>
      <c r="I128" s="23" t="n">
        <f aca="false">IF(AND($K128="Y",$F128&lt;&gt;"Y",OR($T128="",$T128=Summary!$C$11)),$C128*IF($H128&lt;&gt;"",$H128,($D128+$E128)/2)*INDEX(Summary!$C$6:$C$8,MATCH($P128,Summary!$B$6:$B$8,0)),0)</f>
        <v>104</v>
      </c>
      <c r="J128" s="20" t="s">
        <v>102</v>
      </c>
      <c r="K128" s="20" t="s">
        <v>103</v>
      </c>
      <c r="L128" s="24" t="s">
        <v>28</v>
      </c>
      <c r="M128" s="24" t="s">
        <v>528</v>
      </c>
      <c r="N128" s="19"/>
      <c r="O128" s="18" t="s">
        <v>106</v>
      </c>
      <c r="P128" s="20" t="s">
        <v>6</v>
      </c>
      <c r="Q128" s="18" t="s">
        <v>44</v>
      </c>
      <c r="R128" s="24" t="s">
        <v>529</v>
      </c>
      <c r="S128" s="18" t="s">
        <v>41</v>
      </c>
      <c r="T128" s="18"/>
      <c r="U128" s="25" t="n">
        <f aca="false">IF(AND($K128="Y",$F128&lt;&gt;"Y",OR($T128="",$T128=Summary!$C$11)),$C128*IF($H128&lt;&gt;"",$H128,$D128)*INDEX(Summary!$C$6:$C$8,MATCH($P128,Summary!$B$6:$B$8,0)),0)</f>
        <v>64</v>
      </c>
      <c r="V128" s="25" t="n">
        <f aca="false">IF(AND($K128="Y",$F128&lt;&gt;"Y",OR($T128="",$T128=Summary!$C$11)),$C128*IF($H128&lt;&gt;"",$H128,$E128)*INDEX(Summary!$C$6:$C$8,MATCH($P128,Summary!$B$6:$B$8,0)),0)</f>
        <v>144</v>
      </c>
      <c r="W128" s="18" t="s">
        <v>118</v>
      </c>
      <c r="X128" s="24"/>
    </row>
    <row r="129" customFormat="false" ht="30" hidden="false" customHeight="true" outlineLevel="0" collapsed="false">
      <c r="A129" s="18" t="s">
        <v>536</v>
      </c>
      <c r="B129" s="19" t="s">
        <v>537</v>
      </c>
      <c r="C129" s="20" t="n">
        <v>1</v>
      </c>
      <c r="D129" s="21" t="n">
        <v>30</v>
      </c>
      <c r="E129" s="21" t="n">
        <v>55</v>
      </c>
      <c r="F129" s="20" t="s">
        <v>101</v>
      </c>
      <c r="G129" s="20" t="s">
        <v>101</v>
      </c>
      <c r="H129" s="22"/>
      <c r="I129" s="23" t="n">
        <f aca="false">IF(AND($K129="Y",$F129&lt;&gt;"Y",OR($T129="",$T129=Summary!$C$11)),$C129*IF($H129&lt;&gt;"",$H129,($D129+$E129)/2)*INDEX(Summary!$C$6:$C$8,MATCH($P129,Summary!$B$6:$B$8,0)),0)</f>
        <v>42.5</v>
      </c>
      <c r="J129" s="20" t="s">
        <v>102</v>
      </c>
      <c r="K129" s="20" t="s">
        <v>103</v>
      </c>
      <c r="L129" s="24" t="s">
        <v>28</v>
      </c>
      <c r="M129" s="24" t="s">
        <v>528</v>
      </c>
      <c r="N129" s="19"/>
      <c r="O129" s="18" t="s">
        <v>212</v>
      </c>
      <c r="P129" s="20" t="s">
        <v>6</v>
      </c>
      <c r="Q129" s="18" t="s">
        <v>44</v>
      </c>
      <c r="R129" s="24" t="s">
        <v>468</v>
      </c>
      <c r="S129" s="18" t="s">
        <v>41</v>
      </c>
      <c r="T129" s="18"/>
      <c r="U129" s="25" t="n">
        <f aca="false">IF(AND($K129="Y",$F129&lt;&gt;"Y",OR($T129="",$T129=Summary!$C$11)),$C129*IF($H129&lt;&gt;"",$H129,$D129)*INDEX(Summary!$C$6:$C$8,MATCH($P129,Summary!$B$6:$B$8,0)),0)</f>
        <v>30</v>
      </c>
      <c r="V129" s="25" t="n">
        <f aca="false">IF(AND($K129="Y",$F129&lt;&gt;"Y",OR($T129="",$T129=Summary!$C$11)),$C129*IF($H129&lt;&gt;"",$H129,$E129)*INDEX(Summary!$C$6:$C$8,MATCH($P129,Summary!$B$6:$B$8,0)),0)</f>
        <v>55</v>
      </c>
      <c r="W129" s="18" t="s">
        <v>118</v>
      </c>
      <c r="X129" s="24"/>
    </row>
    <row r="130" customFormat="false" ht="30" hidden="false" customHeight="true" outlineLevel="0" collapsed="false">
      <c r="A130" s="18" t="s">
        <v>538</v>
      </c>
      <c r="B130" s="19" t="s">
        <v>539</v>
      </c>
      <c r="C130" s="20" t="n">
        <v>1</v>
      </c>
      <c r="D130" s="21" t="n">
        <v>10</v>
      </c>
      <c r="E130" s="21" t="n">
        <v>20</v>
      </c>
      <c r="F130" s="20" t="s">
        <v>101</v>
      </c>
      <c r="G130" s="20" t="s">
        <v>103</v>
      </c>
      <c r="H130" s="22"/>
      <c r="I130" s="23" t="n">
        <f aca="false">IF(AND($K130="Y",$F130&lt;&gt;"Y",OR($T130="",$T130=Summary!$C$11)),$C130*IF($H130&lt;&gt;"",$H130,($D130+$E130)/2)*INDEX(Summary!$C$6:$C$8,MATCH($P130,Summary!$B$6:$B$8,0)),0)</f>
        <v>15</v>
      </c>
      <c r="J130" s="20" t="s">
        <v>102</v>
      </c>
      <c r="K130" s="20" t="s">
        <v>103</v>
      </c>
      <c r="L130" s="24" t="s">
        <v>28</v>
      </c>
      <c r="M130" s="24" t="s">
        <v>528</v>
      </c>
      <c r="N130" s="19"/>
      <c r="O130" s="18" t="s">
        <v>212</v>
      </c>
      <c r="P130" s="20" t="s">
        <v>6</v>
      </c>
      <c r="Q130" s="18" t="s">
        <v>45</v>
      </c>
      <c r="R130" s="24" t="s">
        <v>7</v>
      </c>
      <c r="S130" s="18" t="s">
        <v>41</v>
      </c>
      <c r="T130" s="18"/>
      <c r="U130" s="25" t="n">
        <f aca="false">IF(AND($K130="Y",$F130&lt;&gt;"Y",OR($T130="",$T130=Summary!$C$11)),$C130*IF($H130&lt;&gt;"",$H130,$D130)*INDEX(Summary!$C$6:$C$8,MATCH($P130,Summary!$B$6:$B$8,0)),0)</f>
        <v>10</v>
      </c>
      <c r="V130" s="25" t="n">
        <f aca="false">IF(AND($K130="Y",$F130&lt;&gt;"Y",OR($T130="",$T130=Summary!$C$11)),$C130*IF($H130&lt;&gt;"",$H130,$E130)*INDEX(Summary!$C$6:$C$8,MATCH($P130,Summary!$B$6:$B$8,0)),0)</f>
        <v>20</v>
      </c>
      <c r="W130" s="18" t="s">
        <v>118</v>
      </c>
      <c r="X130" s="24"/>
    </row>
    <row r="131" customFormat="false" ht="30" hidden="false" customHeight="true" outlineLevel="0" collapsed="false">
      <c r="A131" s="18" t="s">
        <v>540</v>
      </c>
      <c r="B131" s="19" t="s">
        <v>541</v>
      </c>
      <c r="C131" s="20" t="n">
        <v>1</v>
      </c>
      <c r="D131" s="21" t="n">
        <v>0</v>
      </c>
      <c r="E131" s="21" t="n">
        <v>0</v>
      </c>
      <c r="F131" s="20" t="s">
        <v>103</v>
      </c>
      <c r="G131" s="20" t="s">
        <v>101</v>
      </c>
      <c r="H131" s="22"/>
      <c r="I131" s="23" t="n">
        <f aca="false">IF(AND($K131="Y",$F131&lt;&gt;"Y",OR($T131="",$T131=Summary!$C$11)),$C131*IF($H131&lt;&gt;"",$H131,($D131+$E131)/2)*INDEX(Summary!$C$6:$C$8,MATCH($P131,Summary!$B$6:$B$8,0)),0)</f>
        <v>0</v>
      </c>
      <c r="J131" s="20" t="s">
        <v>46</v>
      </c>
      <c r="K131" s="20" t="s">
        <v>103</v>
      </c>
      <c r="L131" s="24" t="s">
        <v>28</v>
      </c>
      <c r="M131" s="24" t="s">
        <v>542</v>
      </c>
      <c r="N131" s="19" t="s">
        <v>543</v>
      </c>
      <c r="O131" s="18" t="s">
        <v>106</v>
      </c>
      <c r="P131" s="20" t="s">
        <v>6</v>
      </c>
      <c r="Q131" s="18" t="s">
        <v>46</v>
      </c>
      <c r="R131" s="24" t="s">
        <v>7</v>
      </c>
      <c r="S131" s="18" t="s">
        <v>41</v>
      </c>
      <c r="T131" s="18"/>
      <c r="U131" s="25" t="n">
        <f aca="false">IF(AND($K131="Y",$F131&lt;&gt;"Y",OR($T131="",$T131=Summary!$C$11)),$C131*IF($H131&lt;&gt;"",$H131,$D131)*INDEX(Summary!$C$6:$C$8,MATCH($P131,Summary!$B$6:$B$8,0)),0)</f>
        <v>0</v>
      </c>
      <c r="V131" s="25" t="n">
        <f aca="false">IF(AND($K131="Y",$F131&lt;&gt;"Y",OR($T131="",$T131=Summary!$C$11)),$C131*IF($H131&lt;&gt;"",$H131,$E131)*INDEX(Summary!$C$6:$C$8,MATCH($P131,Summary!$B$6:$B$8,0)),0)</f>
        <v>0</v>
      </c>
      <c r="W131" s="18" t="s">
        <v>118</v>
      </c>
      <c r="X131" s="24"/>
    </row>
    <row r="132" customFormat="false" ht="30" hidden="false" customHeight="true" outlineLevel="0" collapsed="false">
      <c r="A132" s="18" t="s">
        <v>544</v>
      </c>
      <c r="B132" s="19" t="s">
        <v>545</v>
      </c>
      <c r="C132" s="20" t="n">
        <v>1</v>
      </c>
      <c r="D132" s="21" t="n">
        <v>45</v>
      </c>
      <c r="E132" s="21" t="n">
        <v>100</v>
      </c>
      <c r="F132" s="20" t="s">
        <v>101</v>
      </c>
      <c r="G132" s="20" t="s">
        <v>101</v>
      </c>
      <c r="H132" s="22"/>
      <c r="I132" s="23" t="n">
        <f aca="false">IF(AND($K132="Y",$F132&lt;&gt;"Y",OR($T132="",$T132=Summary!$C$11)),$C132*IF($H132&lt;&gt;"",$H132,($D132+$E132)/2)*INDEX(Summary!$C$6:$C$8,MATCH($P132,Summary!$B$6:$B$8,0)),0)</f>
        <v>72.5</v>
      </c>
      <c r="J132" s="20" t="s">
        <v>102</v>
      </c>
      <c r="K132" s="20" t="s">
        <v>103</v>
      </c>
      <c r="L132" s="24" t="s">
        <v>28</v>
      </c>
      <c r="M132" s="24" t="s">
        <v>542</v>
      </c>
      <c r="N132" s="19"/>
      <c r="O132" s="18" t="s">
        <v>106</v>
      </c>
      <c r="P132" s="20" t="s">
        <v>6</v>
      </c>
      <c r="Q132" s="18" t="s">
        <v>44</v>
      </c>
      <c r="R132" s="24" t="s">
        <v>546</v>
      </c>
      <c r="S132" s="18" t="s">
        <v>41</v>
      </c>
      <c r="T132" s="18"/>
      <c r="U132" s="25" t="n">
        <f aca="false">IF(AND($K132="Y",$F132&lt;&gt;"Y",OR($T132="",$T132=Summary!$C$11)),$C132*IF($H132&lt;&gt;"",$H132,$D132)*INDEX(Summary!$C$6:$C$8,MATCH($P132,Summary!$B$6:$B$8,0)),0)</f>
        <v>45</v>
      </c>
      <c r="V132" s="25" t="n">
        <f aca="false">IF(AND($K132="Y",$F132&lt;&gt;"Y",OR($T132="",$T132=Summary!$C$11)),$C132*IF($H132&lt;&gt;"",$H132,$E132)*INDEX(Summary!$C$6:$C$8,MATCH($P132,Summary!$B$6:$B$8,0)),0)</f>
        <v>100</v>
      </c>
      <c r="W132" s="18" t="s">
        <v>118</v>
      </c>
      <c r="X132" s="24"/>
    </row>
    <row r="133" customFormat="false" ht="30" hidden="false" customHeight="true" outlineLevel="0" collapsed="false">
      <c r="A133" s="18" t="s">
        <v>547</v>
      </c>
      <c r="B133" s="19" t="s">
        <v>548</v>
      </c>
      <c r="C133" s="20" t="n">
        <v>1</v>
      </c>
      <c r="D133" s="21" t="n">
        <v>45</v>
      </c>
      <c r="E133" s="21" t="n">
        <v>85</v>
      </c>
      <c r="F133" s="20" t="s">
        <v>101</v>
      </c>
      <c r="G133" s="20" t="s">
        <v>101</v>
      </c>
      <c r="H133" s="22"/>
      <c r="I133" s="23" t="n">
        <f aca="false">IF(AND($K133="Y",$F133&lt;&gt;"Y",OR($T133="",$T133=Summary!$C$11)),$C133*IF($H133&lt;&gt;"",$H133,($D133+$E133)/2)*INDEX(Summary!$C$6:$C$8,MATCH($P133,Summary!$B$6:$B$8,0)),0)</f>
        <v>65</v>
      </c>
      <c r="J133" s="20" t="s">
        <v>102</v>
      </c>
      <c r="K133" s="20" t="s">
        <v>103</v>
      </c>
      <c r="L133" s="24" t="s">
        <v>28</v>
      </c>
      <c r="M133" s="24" t="s">
        <v>542</v>
      </c>
      <c r="N133" s="19"/>
      <c r="O133" s="18" t="s">
        <v>212</v>
      </c>
      <c r="P133" s="20" t="s">
        <v>6</v>
      </c>
      <c r="Q133" s="18" t="s">
        <v>44</v>
      </c>
      <c r="R133" s="24" t="s">
        <v>468</v>
      </c>
      <c r="S133" s="18" t="s">
        <v>41</v>
      </c>
      <c r="T133" s="18"/>
      <c r="U133" s="25" t="n">
        <f aca="false">IF(AND($K133="Y",$F133&lt;&gt;"Y",OR($T133="",$T133=Summary!$C$11)),$C133*IF($H133&lt;&gt;"",$H133,$D133)*INDEX(Summary!$C$6:$C$8,MATCH($P133,Summary!$B$6:$B$8,0)),0)</f>
        <v>45</v>
      </c>
      <c r="V133" s="25" t="n">
        <f aca="false">IF(AND($K133="Y",$F133&lt;&gt;"Y",OR($T133="",$T133=Summary!$C$11)),$C133*IF($H133&lt;&gt;"",$H133,$E133)*INDEX(Summary!$C$6:$C$8,MATCH($P133,Summary!$B$6:$B$8,0)),0)</f>
        <v>85</v>
      </c>
      <c r="W133" s="18" t="s">
        <v>118</v>
      </c>
      <c r="X133" s="24"/>
    </row>
    <row r="134" customFormat="false" ht="30" hidden="false" customHeight="true" outlineLevel="0" collapsed="false">
      <c r="A134" s="18" t="s">
        <v>549</v>
      </c>
      <c r="B134" s="19" t="s">
        <v>550</v>
      </c>
      <c r="C134" s="20" t="n">
        <v>1</v>
      </c>
      <c r="D134" s="21" t="n">
        <v>0</v>
      </c>
      <c r="E134" s="21" t="n">
        <v>0</v>
      </c>
      <c r="F134" s="20" t="s">
        <v>103</v>
      </c>
      <c r="G134" s="20" t="s">
        <v>101</v>
      </c>
      <c r="H134" s="22"/>
      <c r="I134" s="23" t="n">
        <f aca="false">IF(AND($K134="Y",$F134&lt;&gt;"Y",OR($T134="",$T134=Summary!$C$11)),$C134*IF($H134&lt;&gt;"",$H134,($D134+$E134)/2)*INDEX(Summary!$C$6:$C$8,MATCH($P134,Summary!$B$6:$B$8,0)),0)</f>
        <v>0</v>
      </c>
      <c r="J134" s="20" t="s">
        <v>207</v>
      </c>
      <c r="K134" s="20" t="s">
        <v>101</v>
      </c>
      <c r="L134" s="24" t="s">
        <v>28</v>
      </c>
      <c r="M134" s="24" t="s">
        <v>551</v>
      </c>
      <c r="N134" s="19" t="s">
        <v>552</v>
      </c>
      <c r="O134" s="18" t="s">
        <v>106</v>
      </c>
      <c r="P134" s="20" t="s">
        <v>6</v>
      </c>
      <c r="Q134" s="18" t="s">
        <v>46</v>
      </c>
      <c r="R134" s="24" t="s">
        <v>7</v>
      </c>
      <c r="S134" s="18" t="s">
        <v>40</v>
      </c>
      <c r="T134" s="18"/>
      <c r="U134" s="25" t="n">
        <f aca="false">IF(AND($K134="Y",$F134&lt;&gt;"Y",OR($T134="",$T134=Summary!$C$11)),$C134*IF($H134&lt;&gt;"",$H134,$D134)*INDEX(Summary!$C$6:$C$8,MATCH($P134,Summary!$B$6:$B$8,0)),0)</f>
        <v>0</v>
      </c>
      <c r="V134" s="25" t="n">
        <f aca="false">IF(AND($K134="Y",$F134&lt;&gt;"Y",OR($T134="",$T134=Summary!$C$11)),$C134*IF($H134&lt;&gt;"",$H134,$E134)*INDEX(Summary!$C$6:$C$8,MATCH($P134,Summary!$B$6:$B$8,0)),0)</f>
        <v>0</v>
      </c>
      <c r="W134" s="18" t="s">
        <v>118</v>
      </c>
      <c r="X134" s="24"/>
    </row>
    <row r="135" customFormat="false" ht="30" hidden="false" customHeight="true" outlineLevel="0" collapsed="false">
      <c r="A135" s="18" t="s">
        <v>553</v>
      </c>
      <c r="B135" s="19" t="s">
        <v>554</v>
      </c>
      <c r="C135" s="20" t="n">
        <v>1</v>
      </c>
      <c r="D135" s="21" t="n">
        <v>710</v>
      </c>
      <c r="E135" s="21" t="n">
        <v>1135</v>
      </c>
      <c r="F135" s="20" t="s">
        <v>101</v>
      </c>
      <c r="G135" s="20" t="s">
        <v>101</v>
      </c>
      <c r="H135" s="22"/>
      <c r="I135" s="23" t="n">
        <f aca="false">IF(AND($K135="Y",$F135&lt;&gt;"Y",OR($T135="",$T135=Summary!$C$11)),$C135*IF($H135&lt;&gt;"",$H135,($D135+$E135)/2)*INDEX(Summary!$C$6:$C$8,MATCH($P135,Summary!$B$6:$B$8,0)),0)</f>
        <v>0</v>
      </c>
      <c r="J135" s="20" t="s">
        <v>207</v>
      </c>
      <c r="K135" s="20" t="s">
        <v>101</v>
      </c>
      <c r="L135" s="24" t="s">
        <v>28</v>
      </c>
      <c r="M135" s="24" t="s">
        <v>551</v>
      </c>
      <c r="N135" s="19" t="s">
        <v>555</v>
      </c>
      <c r="O135" s="18" t="s">
        <v>106</v>
      </c>
      <c r="P135" s="20" t="s">
        <v>6</v>
      </c>
      <c r="Q135" s="18" t="s">
        <v>44</v>
      </c>
      <c r="R135" s="24" t="s">
        <v>556</v>
      </c>
      <c r="S135" s="18" t="s">
        <v>40</v>
      </c>
      <c r="T135" s="18"/>
      <c r="U135" s="25" t="n">
        <f aca="false">IF(AND($K135="Y",$F135&lt;&gt;"Y",OR($T135="",$T135=Summary!$C$11)),$C135*IF($H135&lt;&gt;"",$H135,$D135)*INDEX(Summary!$C$6:$C$8,MATCH($P135,Summary!$B$6:$B$8,0)),0)</f>
        <v>0</v>
      </c>
      <c r="V135" s="25" t="n">
        <f aca="false">IF(AND($K135="Y",$F135&lt;&gt;"Y",OR($T135="",$T135=Summary!$C$11)),$C135*IF($H135&lt;&gt;"",$H135,$E135)*INDEX(Summary!$C$6:$C$8,MATCH($P135,Summary!$B$6:$B$8,0)),0)</f>
        <v>0</v>
      </c>
      <c r="W135" s="18" t="s">
        <v>62</v>
      </c>
      <c r="X135" s="26" t="s">
        <v>557</v>
      </c>
    </row>
    <row r="136" customFormat="false" ht="30" hidden="false" customHeight="true" outlineLevel="0" collapsed="false">
      <c r="A136" s="18" t="s">
        <v>558</v>
      </c>
      <c r="B136" s="19" t="s">
        <v>559</v>
      </c>
      <c r="C136" s="20" t="n">
        <v>1</v>
      </c>
      <c r="D136" s="21" t="n">
        <v>55</v>
      </c>
      <c r="E136" s="21" t="n">
        <v>115</v>
      </c>
      <c r="F136" s="20" t="s">
        <v>101</v>
      </c>
      <c r="G136" s="20" t="s">
        <v>101</v>
      </c>
      <c r="H136" s="22"/>
      <c r="I136" s="23" t="n">
        <f aca="false">IF(AND($K136="Y",$F136&lt;&gt;"Y",OR($T136="",$T136=Summary!$C$11)),$C136*IF($H136&lt;&gt;"",$H136,($D136+$E136)/2)*INDEX(Summary!$C$6:$C$8,MATCH($P136,Summary!$B$6:$B$8,0)),0)</f>
        <v>85</v>
      </c>
      <c r="J136" s="20" t="s">
        <v>102</v>
      </c>
      <c r="K136" s="20" t="s">
        <v>103</v>
      </c>
      <c r="L136" s="24" t="s">
        <v>28</v>
      </c>
      <c r="M136" s="24" t="s">
        <v>560</v>
      </c>
      <c r="N136" s="19"/>
      <c r="O136" s="18" t="s">
        <v>106</v>
      </c>
      <c r="P136" s="20" t="s">
        <v>6</v>
      </c>
      <c r="Q136" s="18" t="s">
        <v>44</v>
      </c>
      <c r="R136" s="24" t="s">
        <v>561</v>
      </c>
      <c r="S136" s="18" t="s">
        <v>41</v>
      </c>
      <c r="T136" s="18"/>
      <c r="U136" s="25" t="n">
        <f aca="false">IF(AND($K136="Y",$F136&lt;&gt;"Y",OR($T136="",$T136=Summary!$C$11)),$C136*IF($H136&lt;&gt;"",$H136,$D136)*INDEX(Summary!$C$6:$C$8,MATCH($P136,Summary!$B$6:$B$8,0)),0)</f>
        <v>55</v>
      </c>
      <c r="V136" s="25" t="n">
        <f aca="false">IF(AND($K136="Y",$F136&lt;&gt;"Y",OR($T136="",$T136=Summary!$C$11)),$C136*IF($H136&lt;&gt;"",$H136,$E136)*INDEX(Summary!$C$6:$C$8,MATCH($P136,Summary!$B$6:$B$8,0)),0)</f>
        <v>115</v>
      </c>
      <c r="W136" s="18" t="s">
        <v>118</v>
      </c>
      <c r="X136" s="24"/>
    </row>
    <row r="137" customFormat="false" ht="30" hidden="false" customHeight="true" outlineLevel="0" collapsed="false">
      <c r="A137" s="18" t="s">
        <v>562</v>
      </c>
      <c r="B137" s="19" t="s">
        <v>563</v>
      </c>
      <c r="C137" s="20" t="n">
        <v>1</v>
      </c>
      <c r="D137" s="21" t="n">
        <v>45</v>
      </c>
      <c r="E137" s="21" t="n">
        <v>115</v>
      </c>
      <c r="F137" s="20" t="s">
        <v>101</v>
      </c>
      <c r="G137" s="20" t="s">
        <v>101</v>
      </c>
      <c r="H137" s="22"/>
      <c r="I137" s="23" t="n">
        <f aca="false">IF(AND($K137="Y",$F137&lt;&gt;"Y",OR($T137="",$T137=Summary!$C$11)),$C137*IF($H137&lt;&gt;"",$H137,($D137+$E137)/2)*INDEX(Summary!$C$6:$C$8,MATCH($P137,Summary!$B$6:$B$8,0)),0)</f>
        <v>80</v>
      </c>
      <c r="J137" s="20" t="s">
        <v>157</v>
      </c>
      <c r="K137" s="20" t="s">
        <v>103</v>
      </c>
      <c r="L137" s="24" t="s">
        <v>28</v>
      </c>
      <c r="M137" s="24" t="s">
        <v>560</v>
      </c>
      <c r="N137" s="19" t="s">
        <v>564</v>
      </c>
      <c r="O137" s="18" t="s">
        <v>106</v>
      </c>
      <c r="P137" s="20" t="s">
        <v>6</v>
      </c>
      <c r="Q137" s="18" t="s">
        <v>44</v>
      </c>
      <c r="R137" s="24" t="s">
        <v>565</v>
      </c>
      <c r="S137" s="18" t="s">
        <v>41</v>
      </c>
      <c r="T137" s="18"/>
      <c r="U137" s="25" t="n">
        <f aca="false">IF(AND($K137="Y",$F137&lt;&gt;"Y",OR($T137="",$T137=Summary!$C$11)),$C137*IF($H137&lt;&gt;"",$H137,$D137)*INDEX(Summary!$C$6:$C$8,MATCH($P137,Summary!$B$6:$B$8,0)),0)</f>
        <v>45</v>
      </c>
      <c r="V137" s="25" t="n">
        <f aca="false">IF(AND($K137="Y",$F137&lt;&gt;"Y",OR($T137="",$T137=Summary!$C$11)),$C137*IF($H137&lt;&gt;"",$H137,$E137)*INDEX(Summary!$C$6:$C$8,MATCH($P137,Summary!$B$6:$B$8,0)),0)</f>
        <v>115</v>
      </c>
      <c r="W137" s="18" t="s">
        <v>118</v>
      </c>
      <c r="X137" s="24"/>
    </row>
    <row r="138" customFormat="false" ht="30" hidden="false" customHeight="true" outlineLevel="0" collapsed="false">
      <c r="A138" s="18" t="s">
        <v>566</v>
      </c>
      <c r="B138" s="19" t="s">
        <v>567</v>
      </c>
      <c r="C138" s="20" t="n">
        <v>1</v>
      </c>
      <c r="D138" s="21" t="n">
        <v>30</v>
      </c>
      <c r="E138" s="21" t="n">
        <v>55</v>
      </c>
      <c r="F138" s="20" t="s">
        <v>101</v>
      </c>
      <c r="G138" s="20" t="s">
        <v>101</v>
      </c>
      <c r="H138" s="22"/>
      <c r="I138" s="23" t="n">
        <f aca="false">IF(AND($K138="Y",$F138&lt;&gt;"Y",OR($T138="",$T138=Summary!$C$11)),$C138*IF($H138&lt;&gt;"",$H138,($D138+$E138)/2)*INDEX(Summary!$C$6:$C$8,MATCH($P138,Summary!$B$6:$B$8,0)),0)</f>
        <v>42.5</v>
      </c>
      <c r="J138" s="20" t="s">
        <v>102</v>
      </c>
      <c r="K138" s="20" t="s">
        <v>103</v>
      </c>
      <c r="L138" s="24" t="s">
        <v>28</v>
      </c>
      <c r="M138" s="24" t="s">
        <v>560</v>
      </c>
      <c r="N138" s="19"/>
      <c r="O138" s="18" t="s">
        <v>212</v>
      </c>
      <c r="P138" s="20" t="s">
        <v>6</v>
      </c>
      <c r="Q138" s="18" t="s">
        <v>44</v>
      </c>
      <c r="R138" s="24" t="s">
        <v>150</v>
      </c>
      <c r="S138" s="18" t="s">
        <v>41</v>
      </c>
      <c r="T138" s="18"/>
      <c r="U138" s="25" t="n">
        <f aca="false">IF(AND($K138="Y",$F138&lt;&gt;"Y",OR($T138="",$T138=Summary!$C$11)),$C138*IF($H138&lt;&gt;"",$H138,$D138)*INDEX(Summary!$C$6:$C$8,MATCH($P138,Summary!$B$6:$B$8,0)),0)</f>
        <v>30</v>
      </c>
      <c r="V138" s="25" t="n">
        <f aca="false">IF(AND($K138="Y",$F138&lt;&gt;"Y",OR($T138="",$T138=Summary!$C$11)),$C138*IF($H138&lt;&gt;"",$H138,$E138)*INDEX(Summary!$C$6:$C$8,MATCH($P138,Summary!$B$6:$B$8,0)),0)</f>
        <v>55</v>
      </c>
      <c r="W138" s="18" t="s">
        <v>118</v>
      </c>
      <c r="X138" s="24"/>
    </row>
    <row r="139" customFormat="false" ht="30" hidden="false" customHeight="true" outlineLevel="0" collapsed="false">
      <c r="A139" s="18" t="s">
        <v>568</v>
      </c>
      <c r="B139" s="19" t="s">
        <v>569</v>
      </c>
      <c r="C139" s="20" t="n">
        <v>1</v>
      </c>
      <c r="D139" s="21" t="n">
        <v>50</v>
      </c>
      <c r="E139" s="21" t="n">
        <v>85</v>
      </c>
      <c r="F139" s="20" t="s">
        <v>101</v>
      </c>
      <c r="G139" s="20" t="s">
        <v>103</v>
      </c>
      <c r="H139" s="22"/>
      <c r="I139" s="23" t="n">
        <f aca="false">IF(AND($K139="Y",$F139&lt;&gt;"Y",OR($T139="",$T139=Summary!$C$11)),$C139*IF($H139&lt;&gt;"",$H139,($D139+$E139)/2)*INDEX(Summary!$C$6:$C$8,MATCH($P139,Summary!$B$6:$B$8,0)),0)</f>
        <v>67.5</v>
      </c>
      <c r="J139" s="20" t="s">
        <v>102</v>
      </c>
      <c r="K139" s="20" t="s">
        <v>103</v>
      </c>
      <c r="L139" s="24" t="s">
        <v>29</v>
      </c>
      <c r="M139" s="24" t="s">
        <v>570</v>
      </c>
      <c r="N139" s="19" t="s">
        <v>571</v>
      </c>
      <c r="O139" s="18" t="s">
        <v>106</v>
      </c>
      <c r="P139" s="20" t="s">
        <v>6</v>
      </c>
      <c r="Q139" s="18" t="s">
        <v>45</v>
      </c>
      <c r="R139" s="24" t="s">
        <v>572</v>
      </c>
      <c r="S139" s="18" t="s">
        <v>40</v>
      </c>
      <c r="T139" s="18"/>
      <c r="U139" s="25" t="n">
        <f aca="false">IF(AND($K139="Y",$F139&lt;&gt;"Y",OR($T139="",$T139=Summary!$C$11)),$C139*IF($H139&lt;&gt;"",$H139,$D139)*INDEX(Summary!$C$6:$C$8,MATCH($P139,Summary!$B$6:$B$8,0)),0)</f>
        <v>50</v>
      </c>
      <c r="V139" s="25" t="n">
        <f aca="false">IF(AND($K139="Y",$F139&lt;&gt;"Y",OR($T139="",$T139=Summary!$C$11)),$C139*IF($H139&lt;&gt;"",$H139,$E139)*INDEX(Summary!$C$6:$C$8,MATCH($P139,Summary!$B$6:$B$8,0)),0)</f>
        <v>85</v>
      </c>
      <c r="W139" s="18" t="s">
        <v>118</v>
      </c>
      <c r="X139" s="26" t="s">
        <v>233</v>
      </c>
    </row>
    <row r="140" customFormat="false" ht="30" hidden="false" customHeight="true" outlineLevel="0" collapsed="false">
      <c r="A140" s="18" t="s">
        <v>573</v>
      </c>
      <c r="B140" s="19" t="s">
        <v>574</v>
      </c>
      <c r="C140" s="20" t="n">
        <v>1</v>
      </c>
      <c r="D140" s="21" t="n">
        <v>35</v>
      </c>
      <c r="E140" s="21" t="n">
        <v>65</v>
      </c>
      <c r="F140" s="20" t="s">
        <v>101</v>
      </c>
      <c r="G140" s="20" t="s">
        <v>103</v>
      </c>
      <c r="H140" s="22"/>
      <c r="I140" s="23" t="n">
        <f aca="false">IF(AND($K140="Y",$F140&lt;&gt;"Y",OR($T140="",$T140=Summary!$C$11)),$C140*IF($H140&lt;&gt;"",$H140,($D140+$E140)/2)*INDEX(Summary!$C$6:$C$8,MATCH($P140,Summary!$B$6:$B$8,0)),0)</f>
        <v>50</v>
      </c>
      <c r="J140" s="20" t="s">
        <v>102</v>
      </c>
      <c r="K140" s="20" t="s">
        <v>103</v>
      </c>
      <c r="L140" s="24" t="s">
        <v>29</v>
      </c>
      <c r="M140" s="24" t="s">
        <v>575</v>
      </c>
      <c r="N140" s="19" t="s">
        <v>576</v>
      </c>
      <c r="O140" s="18" t="s">
        <v>106</v>
      </c>
      <c r="P140" s="20" t="s">
        <v>6</v>
      </c>
      <c r="Q140" s="18" t="s">
        <v>45</v>
      </c>
      <c r="R140" s="24" t="s">
        <v>577</v>
      </c>
      <c r="S140" s="18" t="s">
        <v>40</v>
      </c>
      <c r="T140" s="18"/>
      <c r="U140" s="25" t="n">
        <f aca="false">IF(AND($K140="Y",$F140&lt;&gt;"Y",OR($T140="",$T140=Summary!$C$11)),$C140*IF($H140&lt;&gt;"",$H140,$D140)*INDEX(Summary!$C$6:$C$8,MATCH($P140,Summary!$B$6:$B$8,0)),0)</f>
        <v>35</v>
      </c>
      <c r="V140" s="25" t="n">
        <f aca="false">IF(AND($K140="Y",$F140&lt;&gt;"Y",OR($T140="",$T140=Summary!$C$11)),$C140*IF($H140&lt;&gt;"",$H140,$E140)*INDEX(Summary!$C$6:$C$8,MATCH($P140,Summary!$B$6:$B$8,0)),0)</f>
        <v>65</v>
      </c>
      <c r="W140" s="18" t="s">
        <v>118</v>
      </c>
      <c r="X140" s="24"/>
    </row>
    <row r="141" customFormat="false" ht="30" hidden="false" customHeight="true" outlineLevel="0" collapsed="false">
      <c r="A141" s="18" t="s">
        <v>578</v>
      </c>
      <c r="B141" s="19" t="s">
        <v>579</v>
      </c>
      <c r="C141" s="20" t="n">
        <v>1</v>
      </c>
      <c r="D141" s="21" t="n">
        <v>15</v>
      </c>
      <c r="E141" s="21" t="n">
        <v>30</v>
      </c>
      <c r="F141" s="20" t="s">
        <v>101</v>
      </c>
      <c r="G141" s="20" t="s">
        <v>103</v>
      </c>
      <c r="H141" s="22"/>
      <c r="I141" s="23" t="n">
        <f aca="false">IF(AND($K141="Y",$F141&lt;&gt;"Y",OR($T141="",$T141=Summary!$C$11)),$C141*IF($H141&lt;&gt;"",$H141,($D141+$E141)/2)*INDEX(Summary!$C$6:$C$8,MATCH($P141,Summary!$B$6:$B$8,0)),0)</f>
        <v>22.5</v>
      </c>
      <c r="J141" s="20" t="s">
        <v>102</v>
      </c>
      <c r="K141" s="20" t="s">
        <v>103</v>
      </c>
      <c r="L141" s="24" t="s">
        <v>29</v>
      </c>
      <c r="M141" s="24" t="s">
        <v>580</v>
      </c>
      <c r="N141" s="19" t="s">
        <v>581</v>
      </c>
      <c r="O141" s="18" t="s">
        <v>106</v>
      </c>
      <c r="P141" s="20" t="s">
        <v>6</v>
      </c>
      <c r="Q141" s="18" t="s">
        <v>45</v>
      </c>
      <c r="R141" s="24" t="s">
        <v>577</v>
      </c>
      <c r="S141" s="18" t="s">
        <v>40</v>
      </c>
      <c r="T141" s="18"/>
      <c r="U141" s="25" t="n">
        <f aca="false">IF(AND($K141="Y",$F141&lt;&gt;"Y",OR($T141="",$T141=Summary!$C$11)),$C141*IF($H141&lt;&gt;"",$H141,$D141)*INDEX(Summary!$C$6:$C$8,MATCH($P141,Summary!$B$6:$B$8,0)),0)</f>
        <v>15</v>
      </c>
      <c r="V141" s="25" t="n">
        <f aca="false">IF(AND($K141="Y",$F141&lt;&gt;"Y",OR($T141="",$T141=Summary!$C$11)),$C141*IF($H141&lt;&gt;"",$H141,$E141)*INDEX(Summary!$C$6:$C$8,MATCH($P141,Summary!$B$6:$B$8,0)),0)</f>
        <v>30</v>
      </c>
      <c r="W141" s="18" t="s">
        <v>118</v>
      </c>
      <c r="X141" s="24"/>
    </row>
    <row r="142" customFormat="false" ht="30" hidden="false" customHeight="true" outlineLevel="0" collapsed="false">
      <c r="A142" s="18" t="s">
        <v>582</v>
      </c>
      <c r="B142" s="19" t="s">
        <v>583</v>
      </c>
      <c r="C142" s="20" t="n">
        <v>1</v>
      </c>
      <c r="D142" s="21" t="n">
        <v>35</v>
      </c>
      <c r="E142" s="21" t="n">
        <v>75</v>
      </c>
      <c r="F142" s="20" t="s">
        <v>101</v>
      </c>
      <c r="G142" s="20" t="s">
        <v>103</v>
      </c>
      <c r="H142" s="22"/>
      <c r="I142" s="23" t="n">
        <f aca="false">IF(AND($K142="Y",$F142&lt;&gt;"Y",OR($T142="",$T142=Summary!$C$11)),$C142*IF($H142&lt;&gt;"",$H142,($D142+$E142)/2)*INDEX(Summary!$C$6:$C$8,MATCH($P142,Summary!$B$6:$B$8,0)),0)</f>
        <v>55</v>
      </c>
      <c r="J142" s="20" t="s">
        <v>102</v>
      </c>
      <c r="K142" s="20" t="s">
        <v>103</v>
      </c>
      <c r="L142" s="24" t="s">
        <v>29</v>
      </c>
      <c r="M142" s="24" t="s">
        <v>584</v>
      </c>
      <c r="N142" s="19" t="s">
        <v>585</v>
      </c>
      <c r="O142" s="18" t="s">
        <v>106</v>
      </c>
      <c r="P142" s="20" t="s">
        <v>6</v>
      </c>
      <c r="Q142" s="18" t="s">
        <v>45</v>
      </c>
      <c r="R142" s="24" t="s">
        <v>586</v>
      </c>
      <c r="S142" s="18" t="s">
        <v>40</v>
      </c>
      <c r="T142" s="18"/>
      <c r="U142" s="25" t="n">
        <f aca="false">IF(AND($K142="Y",$F142&lt;&gt;"Y",OR($T142="",$T142=Summary!$C$11)),$C142*IF($H142&lt;&gt;"",$H142,$D142)*INDEX(Summary!$C$6:$C$8,MATCH($P142,Summary!$B$6:$B$8,0)),0)</f>
        <v>35</v>
      </c>
      <c r="V142" s="25" t="n">
        <f aca="false">IF(AND($K142="Y",$F142&lt;&gt;"Y",OR($T142="",$T142=Summary!$C$11)),$C142*IF($H142&lt;&gt;"",$H142,$E142)*INDEX(Summary!$C$6:$C$8,MATCH($P142,Summary!$B$6:$B$8,0)),0)</f>
        <v>75</v>
      </c>
      <c r="W142" s="18" t="s">
        <v>219</v>
      </c>
      <c r="X142" s="26" t="s">
        <v>587</v>
      </c>
    </row>
    <row r="143" customFormat="false" ht="30" hidden="false" customHeight="true" outlineLevel="0" collapsed="false">
      <c r="A143" s="18" t="s">
        <v>588</v>
      </c>
      <c r="B143" s="19" t="s">
        <v>589</v>
      </c>
      <c r="C143" s="20" t="n">
        <v>1</v>
      </c>
      <c r="D143" s="21" t="n">
        <v>55</v>
      </c>
      <c r="E143" s="21" t="n">
        <v>90</v>
      </c>
      <c r="F143" s="20" t="s">
        <v>101</v>
      </c>
      <c r="G143" s="20" t="s">
        <v>103</v>
      </c>
      <c r="H143" s="22"/>
      <c r="I143" s="23" t="n">
        <f aca="false">IF(AND($K143="Y",$F143&lt;&gt;"Y",OR($T143="",$T143=Summary!$C$11)),$C143*IF($H143&lt;&gt;"",$H143,($D143+$E143)/2)*INDEX(Summary!$C$6:$C$8,MATCH($P143,Summary!$B$6:$B$8,0)),0)</f>
        <v>72.5</v>
      </c>
      <c r="J143" s="20" t="s">
        <v>102</v>
      </c>
      <c r="K143" s="20" t="s">
        <v>103</v>
      </c>
      <c r="L143" s="24" t="s">
        <v>29</v>
      </c>
      <c r="M143" s="24" t="s">
        <v>590</v>
      </c>
      <c r="N143" s="19" t="s">
        <v>591</v>
      </c>
      <c r="O143" s="18" t="s">
        <v>106</v>
      </c>
      <c r="P143" s="20" t="s">
        <v>6</v>
      </c>
      <c r="Q143" s="18" t="s">
        <v>45</v>
      </c>
      <c r="R143" s="24" t="s">
        <v>592</v>
      </c>
      <c r="S143" s="18" t="s">
        <v>40</v>
      </c>
      <c r="T143" s="18"/>
      <c r="U143" s="25" t="n">
        <f aca="false">IF(AND($K143="Y",$F143&lt;&gt;"Y",OR($T143="",$T143=Summary!$C$11)),$C143*IF($H143&lt;&gt;"",$H143,$D143)*INDEX(Summary!$C$6:$C$8,MATCH($P143,Summary!$B$6:$B$8,0)),0)</f>
        <v>55</v>
      </c>
      <c r="V143" s="25" t="n">
        <f aca="false">IF(AND($K143="Y",$F143&lt;&gt;"Y",OR($T143="",$T143=Summary!$C$11)),$C143*IF($H143&lt;&gt;"",$H143,$E143)*INDEX(Summary!$C$6:$C$8,MATCH($P143,Summary!$B$6:$B$8,0)),0)</f>
        <v>90</v>
      </c>
      <c r="W143" s="18" t="s">
        <v>118</v>
      </c>
      <c r="X143" s="26" t="s">
        <v>593</v>
      </c>
    </row>
    <row r="144" customFormat="false" ht="30" hidden="false" customHeight="true" outlineLevel="0" collapsed="false">
      <c r="A144" s="18" t="s">
        <v>594</v>
      </c>
      <c r="B144" s="19" t="s">
        <v>595</v>
      </c>
      <c r="C144" s="20" t="n">
        <v>5</v>
      </c>
      <c r="D144" s="21" t="n">
        <v>7</v>
      </c>
      <c r="E144" s="21" t="n">
        <v>10</v>
      </c>
      <c r="F144" s="20" t="s">
        <v>101</v>
      </c>
      <c r="G144" s="20" t="s">
        <v>101</v>
      </c>
      <c r="H144" s="22"/>
      <c r="I144" s="23" t="n">
        <f aca="false">IF(AND($K144="Y",$F144&lt;&gt;"Y",OR($T144="",$T144=Summary!$C$11)),$C144*IF($H144&lt;&gt;"",$H144,($D144+$E144)/2)*INDEX(Summary!$C$6:$C$8,MATCH($P144,Summary!$B$6:$B$8,0)),0)</f>
        <v>42.5</v>
      </c>
      <c r="J144" s="20" t="s">
        <v>102</v>
      </c>
      <c r="K144" s="20" t="s">
        <v>103</v>
      </c>
      <c r="L144" s="24" t="s">
        <v>29</v>
      </c>
      <c r="M144" s="24" t="s">
        <v>596</v>
      </c>
      <c r="N144" s="19" t="s">
        <v>597</v>
      </c>
      <c r="O144" s="18" t="s">
        <v>106</v>
      </c>
      <c r="P144" s="20" t="s">
        <v>6</v>
      </c>
      <c r="Q144" s="18" t="s">
        <v>44</v>
      </c>
      <c r="R144" s="24" t="s">
        <v>598</v>
      </c>
      <c r="S144" s="18" t="s">
        <v>40</v>
      </c>
      <c r="T144" s="18"/>
      <c r="U144" s="25" t="n">
        <f aca="false">IF(AND($K144="Y",$F144&lt;&gt;"Y",OR($T144="",$T144=Summary!$C$11)),$C144*IF($H144&lt;&gt;"",$H144,$D144)*INDEX(Summary!$C$6:$C$8,MATCH($P144,Summary!$B$6:$B$8,0)),0)</f>
        <v>35</v>
      </c>
      <c r="V144" s="25" t="n">
        <f aca="false">IF(AND($K144="Y",$F144&lt;&gt;"Y",OR($T144="",$T144=Summary!$C$11)),$C144*IF($H144&lt;&gt;"",$H144,$E144)*INDEX(Summary!$C$6:$C$8,MATCH($P144,Summary!$B$6:$B$8,0)),0)</f>
        <v>50</v>
      </c>
      <c r="W144" s="18" t="s">
        <v>219</v>
      </c>
      <c r="X144" s="26" t="s">
        <v>599</v>
      </c>
    </row>
    <row r="145" customFormat="false" ht="30" hidden="false" customHeight="true" outlineLevel="0" collapsed="false">
      <c r="A145" s="18" t="s">
        <v>600</v>
      </c>
      <c r="B145" s="19" t="s">
        <v>601</v>
      </c>
      <c r="C145" s="20" t="n">
        <v>1</v>
      </c>
      <c r="D145" s="21" t="n">
        <v>40</v>
      </c>
      <c r="E145" s="21" t="n">
        <v>50</v>
      </c>
      <c r="F145" s="20" t="s">
        <v>101</v>
      </c>
      <c r="G145" s="20" t="s">
        <v>101</v>
      </c>
      <c r="H145" s="22"/>
      <c r="I145" s="23" t="n">
        <f aca="false">IF(AND($K145="Y",$F145&lt;&gt;"Y",OR($T145="",$T145=Summary!$C$11)),$C145*IF($H145&lt;&gt;"",$H145,($D145+$E145)/2)*INDEX(Summary!$C$6:$C$8,MATCH($P145,Summary!$B$6:$B$8,0)),0)</f>
        <v>45</v>
      </c>
      <c r="J145" s="20" t="s">
        <v>102</v>
      </c>
      <c r="K145" s="20" t="s">
        <v>103</v>
      </c>
      <c r="L145" s="24" t="s">
        <v>29</v>
      </c>
      <c r="M145" s="24" t="s">
        <v>602</v>
      </c>
      <c r="N145" s="19" t="s">
        <v>603</v>
      </c>
      <c r="O145" s="18" t="s">
        <v>140</v>
      </c>
      <c r="P145" s="20" t="s">
        <v>6</v>
      </c>
      <c r="Q145" s="18" t="s">
        <v>44</v>
      </c>
      <c r="R145" s="24" t="s">
        <v>604</v>
      </c>
      <c r="S145" s="18" t="s">
        <v>40</v>
      </c>
      <c r="T145" s="18"/>
      <c r="U145" s="25" t="n">
        <f aca="false">IF(AND($K145="Y",$F145&lt;&gt;"Y",OR($T145="",$T145=Summary!$C$11)),$C145*IF($H145&lt;&gt;"",$H145,$D145)*INDEX(Summary!$C$6:$C$8,MATCH($P145,Summary!$B$6:$B$8,0)),0)</f>
        <v>40</v>
      </c>
      <c r="V145" s="25" t="n">
        <f aca="false">IF(AND($K145="Y",$F145&lt;&gt;"Y",OR($T145="",$T145=Summary!$C$11)),$C145*IF($H145&lt;&gt;"",$H145,$E145)*INDEX(Summary!$C$6:$C$8,MATCH($P145,Summary!$B$6:$B$8,0)),0)</f>
        <v>50</v>
      </c>
      <c r="W145" s="18" t="s">
        <v>219</v>
      </c>
      <c r="X145" s="26" t="s">
        <v>605</v>
      </c>
    </row>
    <row r="146" customFormat="false" ht="30" hidden="false" customHeight="true" outlineLevel="0" collapsed="false">
      <c r="A146" s="18" t="s">
        <v>606</v>
      </c>
      <c r="B146" s="19" t="s">
        <v>607</v>
      </c>
      <c r="C146" s="20" t="n">
        <v>1</v>
      </c>
      <c r="D146" s="21" t="n">
        <v>35</v>
      </c>
      <c r="E146" s="21" t="n">
        <v>60</v>
      </c>
      <c r="F146" s="20" t="s">
        <v>101</v>
      </c>
      <c r="G146" s="20" t="s">
        <v>101</v>
      </c>
      <c r="H146" s="22"/>
      <c r="I146" s="23" t="n">
        <f aca="false">IF(AND($K146="Y",$F146&lt;&gt;"Y",OR($T146="",$T146=Summary!$C$11)),$C146*IF($H146&lt;&gt;"",$H146,($D146+$E146)/2)*INDEX(Summary!$C$6:$C$8,MATCH($P146,Summary!$B$6:$B$8,0)),0)</f>
        <v>47.5</v>
      </c>
      <c r="J146" s="20" t="s">
        <v>102</v>
      </c>
      <c r="K146" s="20" t="s">
        <v>103</v>
      </c>
      <c r="L146" s="24" t="s">
        <v>29</v>
      </c>
      <c r="M146" s="24" t="s">
        <v>608</v>
      </c>
      <c r="N146" s="19"/>
      <c r="O146" s="18" t="s">
        <v>212</v>
      </c>
      <c r="P146" s="20" t="s">
        <v>6</v>
      </c>
      <c r="Q146" s="18" t="s">
        <v>44</v>
      </c>
      <c r="R146" s="24" t="s">
        <v>609</v>
      </c>
      <c r="S146" s="18" t="s">
        <v>40</v>
      </c>
      <c r="T146" s="18"/>
      <c r="U146" s="25" t="n">
        <f aca="false">IF(AND($K146="Y",$F146&lt;&gt;"Y",OR($T146="",$T146=Summary!$C$11)),$C146*IF($H146&lt;&gt;"",$H146,$D146)*INDEX(Summary!$C$6:$C$8,MATCH($P146,Summary!$B$6:$B$8,0)),0)</f>
        <v>35</v>
      </c>
      <c r="V146" s="25" t="n">
        <f aca="false">IF(AND($K146="Y",$F146&lt;&gt;"Y",OR($T146="",$T146=Summary!$C$11)),$C146*IF($H146&lt;&gt;"",$H146,$E146)*INDEX(Summary!$C$6:$C$8,MATCH($P146,Summary!$B$6:$B$8,0)),0)</f>
        <v>60</v>
      </c>
      <c r="W146" s="18" t="s">
        <v>118</v>
      </c>
      <c r="X146" s="24"/>
    </row>
    <row r="147" customFormat="false" ht="30" hidden="false" customHeight="true" outlineLevel="0" collapsed="false">
      <c r="A147" s="18" t="s">
        <v>610</v>
      </c>
      <c r="B147" s="19" t="s">
        <v>611</v>
      </c>
      <c r="C147" s="20" t="n">
        <v>1</v>
      </c>
      <c r="D147" s="21" t="n">
        <v>25</v>
      </c>
      <c r="E147" s="21" t="n">
        <v>40</v>
      </c>
      <c r="F147" s="20" t="s">
        <v>101</v>
      </c>
      <c r="G147" s="20" t="s">
        <v>101</v>
      </c>
      <c r="H147" s="22"/>
      <c r="I147" s="23" t="n">
        <f aca="false">IF(AND($K147="Y",$F147&lt;&gt;"Y",OR($T147="",$T147=Summary!$C$11)),$C147*IF($H147&lt;&gt;"",$H147,($D147+$E147)/2)*INDEX(Summary!$C$6:$C$8,MATCH($P147,Summary!$B$6:$B$8,0)),0)</f>
        <v>32.5</v>
      </c>
      <c r="J147" s="20" t="s">
        <v>102</v>
      </c>
      <c r="K147" s="20" t="s">
        <v>103</v>
      </c>
      <c r="L147" s="24" t="s">
        <v>29</v>
      </c>
      <c r="M147" s="24" t="s">
        <v>398</v>
      </c>
      <c r="N147" s="19" t="s">
        <v>612</v>
      </c>
      <c r="O147" s="18" t="s">
        <v>106</v>
      </c>
      <c r="P147" s="20" t="s">
        <v>6</v>
      </c>
      <c r="Q147" s="18" t="s">
        <v>44</v>
      </c>
      <c r="R147" s="24" t="s">
        <v>613</v>
      </c>
      <c r="S147" s="18" t="s">
        <v>40</v>
      </c>
      <c r="T147" s="18"/>
      <c r="U147" s="25" t="n">
        <f aca="false">IF(AND($K147="Y",$F147&lt;&gt;"Y",OR($T147="",$T147=Summary!$C$11)),$C147*IF($H147&lt;&gt;"",$H147,$D147)*INDEX(Summary!$C$6:$C$8,MATCH($P147,Summary!$B$6:$B$8,0)),0)</f>
        <v>25</v>
      </c>
      <c r="V147" s="25" t="n">
        <f aca="false">IF(AND($K147="Y",$F147&lt;&gt;"Y",OR($T147="",$T147=Summary!$C$11)),$C147*IF($H147&lt;&gt;"",$H147,$E147)*INDEX(Summary!$C$6:$C$8,MATCH($P147,Summary!$B$6:$B$8,0)),0)</f>
        <v>40</v>
      </c>
      <c r="W147" s="18" t="s">
        <v>118</v>
      </c>
      <c r="X147" s="24"/>
    </row>
    <row r="148" customFormat="false" ht="30" hidden="false" customHeight="true" outlineLevel="0" collapsed="false">
      <c r="A148" s="18" t="s">
        <v>614</v>
      </c>
      <c r="B148" s="19" t="s">
        <v>615</v>
      </c>
      <c r="C148" s="20" t="n">
        <v>1</v>
      </c>
      <c r="D148" s="21" t="n">
        <v>10</v>
      </c>
      <c r="E148" s="21" t="n">
        <v>20</v>
      </c>
      <c r="F148" s="20" t="s">
        <v>101</v>
      </c>
      <c r="G148" s="20" t="s">
        <v>101</v>
      </c>
      <c r="H148" s="22"/>
      <c r="I148" s="23" t="n">
        <f aca="false">IF(AND($K148="Y",$F148&lt;&gt;"Y",OR($T148="",$T148=Summary!$C$11)),$C148*IF($H148&lt;&gt;"",$H148,($D148+$E148)/2)*INDEX(Summary!$C$6:$C$8,MATCH($P148,Summary!$B$6:$B$8,0)),0)</f>
        <v>15</v>
      </c>
      <c r="J148" s="20" t="s">
        <v>102</v>
      </c>
      <c r="K148" s="20" t="s">
        <v>103</v>
      </c>
      <c r="L148" s="24" t="s">
        <v>29</v>
      </c>
      <c r="M148" s="24" t="s">
        <v>130</v>
      </c>
      <c r="N148" s="19"/>
      <c r="O148" s="18" t="s">
        <v>106</v>
      </c>
      <c r="P148" s="20" t="s">
        <v>6</v>
      </c>
      <c r="Q148" s="18" t="s">
        <v>44</v>
      </c>
      <c r="R148" s="24" t="s">
        <v>616</v>
      </c>
      <c r="S148" s="18" t="s">
        <v>40</v>
      </c>
      <c r="T148" s="18"/>
      <c r="U148" s="25" t="n">
        <f aca="false">IF(AND($K148="Y",$F148&lt;&gt;"Y",OR($T148="",$T148=Summary!$C$11)),$C148*IF($H148&lt;&gt;"",$H148,$D148)*INDEX(Summary!$C$6:$C$8,MATCH($P148,Summary!$B$6:$B$8,0)),0)</f>
        <v>10</v>
      </c>
      <c r="V148" s="25" t="n">
        <f aca="false">IF(AND($K148="Y",$F148&lt;&gt;"Y",OR($T148="",$T148=Summary!$C$11)),$C148*IF($H148&lt;&gt;"",$H148,$E148)*INDEX(Summary!$C$6:$C$8,MATCH($P148,Summary!$B$6:$B$8,0)),0)</f>
        <v>20</v>
      </c>
      <c r="W148" s="18" t="s">
        <v>118</v>
      </c>
      <c r="X148" s="24"/>
    </row>
    <row r="149" customFormat="false" ht="30" hidden="false" customHeight="true" outlineLevel="0" collapsed="false">
      <c r="A149" s="18" t="s">
        <v>617</v>
      </c>
      <c r="B149" s="19" t="s">
        <v>618</v>
      </c>
      <c r="C149" s="20" t="n">
        <v>1</v>
      </c>
      <c r="D149" s="21" t="n">
        <v>8</v>
      </c>
      <c r="E149" s="21" t="n">
        <v>15</v>
      </c>
      <c r="F149" s="20" t="s">
        <v>101</v>
      </c>
      <c r="G149" s="20" t="s">
        <v>101</v>
      </c>
      <c r="H149" s="22"/>
      <c r="I149" s="23" t="n">
        <f aca="false">IF(AND($K149="Y",$F149&lt;&gt;"Y",OR($T149="",$T149=Summary!$C$11)),$C149*IF($H149&lt;&gt;"",$H149,($D149+$E149)/2)*INDEX(Summary!$C$6:$C$8,MATCH($P149,Summary!$B$6:$B$8,0)),0)</f>
        <v>11.5</v>
      </c>
      <c r="J149" s="20" t="s">
        <v>102</v>
      </c>
      <c r="K149" s="20" t="s">
        <v>103</v>
      </c>
      <c r="L149" s="24" t="s">
        <v>29</v>
      </c>
      <c r="M149" s="24" t="s">
        <v>130</v>
      </c>
      <c r="N149" s="19"/>
      <c r="O149" s="18" t="s">
        <v>160</v>
      </c>
      <c r="P149" s="20" t="s">
        <v>6</v>
      </c>
      <c r="Q149" s="18" t="s">
        <v>44</v>
      </c>
      <c r="R149" s="24" t="s">
        <v>619</v>
      </c>
      <c r="S149" s="18" t="s">
        <v>40</v>
      </c>
      <c r="T149" s="18"/>
      <c r="U149" s="25" t="n">
        <f aca="false">IF(AND($K149="Y",$F149&lt;&gt;"Y",OR($T149="",$T149=Summary!$C$11)),$C149*IF($H149&lt;&gt;"",$H149,$D149)*INDEX(Summary!$C$6:$C$8,MATCH($P149,Summary!$B$6:$B$8,0)),0)</f>
        <v>8</v>
      </c>
      <c r="V149" s="25" t="n">
        <f aca="false">IF(AND($K149="Y",$F149&lt;&gt;"Y",OR($T149="",$T149=Summary!$C$11)),$C149*IF($H149&lt;&gt;"",$H149,$E149)*INDEX(Summary!$C$6:$C$8,MATCH($P149,Summary!$B$6:$B$8,0)),0)</f>
        <v>15</v>
      </c>
      <c r="W149" s="18" t="s">
        <v>118</v>
      </c>
      <c r="X149" s="24"/>
    </row>
    <row r="150" customFormat="false" ht="30" hidden="false" customHeight="true" outlineLevel="0" collapsed="false">
      <c r="A150" s="18" t="s">
        <v>620</v>
      </c>
      <c r="B150" s="19" t="s">
        <v>621</v>
      </c>
      <c r="C150" s="20" t="n">
        <v>1</v>
      </c>
      <c r="D150" s="21" t="n">
        <v>25</v>
      </c>
      <c r="E150" s="21" t="n">
        <v>45</v>
      </c>
      <c r="F150" s="20" t="s">
        <v>101</v>
      </c>
      <c r="G150" s="20" t="s">
        <v>103</v>
      </c>
      <c r="H150" s="22"/>
      <c r="I150" s="23" t="n">
        <f aca="false">IF(AND($K150="Y",$F150&lt;&gt;"Y",OR($T150="",$T150=Summary!$C$11)),$C150*IF($H150&lt;&gt;"",$H150,($D150+$E150)/2)*INDEX(Summary!$C$6:$C$8,MATCH($P150,Summary!$B$6:$B$8,0)),0)</f>
        <v>35</v>
      </c>
      <c r="J150" s="20" t="s">
        <v>157</v>
      </c>
      <c r="K150" s="20" t="s">
        <v>103</v>
      </c>
      <c r="L150" s="24" t="s">
        <v>29</v>
      </c>
      <c r="M150" s="24" t="s">
        <v>622</v>
      </c>
      <c r="N150" s="19" t="s">
        <v>623</v>
      </c>
      <c r="O150" s="18" t="s">
        <v>106</v>
      </c>
      <c r="P150" s="20" t="s">
        <v>6</v>
      </c>
      <c r="Q150" s="18" t="s">
        <v>45</v>
      </c>
      <c r="R150" s="24" t="s">
        <v>577</v>
      </c>
      <c r="S150" s="18" t="s">
        <v>40</v>
      </c>
      <c r="T150" s="18"/>
      <c r="U150" s="25" t="n">
        <f aca="false">IF(AND($K150="Y",$F150&lt;&gt;"Y",OR($T150="",$T150=Summary!$C$11)),$C150*IF($H150&lt;&gt;"",$H150,$D150)*INDEX(Summary!$C$6:$C$8,MATCH($P150,Summary!$B$6:$B$8,0)),0)</f>
        <v>25</v>
      </c>
      <c r="V150" s="25" t="n">
        <f aca="false">IF(AND($K150="Y",$F150&lt;&gt;"Y",OR($T150="",$T150=Summary!$C$11)),$C150*IF($H150&lt;&gt;"",$H150,$E150)*INDEX(Summary!$C$6:$C$8,MATCH($P150,Summary!$B$6:$B$8,0)),0)</f>
        <v>45</v>
      </c>
      <c r="W150" s="18" t="s">
        <v>118</v>
      </c>
      <c r="X150" s="24"/>
    </row>
    <row r="151" customFormat="false" ht="30" hidden="false" customHeight="true" outlineLevel="0" collapsed="false">
      <c r="A151" s="18" t="s">
        <v>624</v>
      </c>
      <c r="B151" s="19" t="s">
        <v>625</v>
      </c>
      <c r="C151" s="20" t="n">
        <v>1</v>
      </c>
      <c r="D151" s="21" t="n">
        <v>10</v>
      </c>
      <c r="E151" s="21" t="n">
        <v>25</v>
      </c>
      <c r="F151" s="20" t="s">
        <v>101</v>
      </c>
      <c r="G151" s="20" t="s">
        <v>103</v>
      </c>
      <c r="H151" s="22"/>
      <c r="I151" s="23" t="n">
        <f aca="false">IF(AND($K151="Y",$F151&lt;&gt;"Y",OR($T151="",$T151=Summary!$C$11)),$C151*IF($H151&lt;&gt;"",$H151,($D151+$E151)/2)*INDEX(Summary!$C$6:$C$8,MATCH($P151,Summary!$B$6:$B$8,0)),0)</f>
        <v>17.5</v>
      </c>
      <c r="J151" s="20" t="s">
        <v>102</v>
      </c>
      <c r="K151" s="20" t="s">
        <v>103</v>
      </c>
      <c r="L151" s="24" t="s">
        <v>29</v>
      </c>
      <c r="M151" s="24" t="s">
        <v>626</v>
      </c>
      <c r="N151" s="19"/>
      <c r="O151" s="18" t="s">
        <v>212</v>
      </c>
      <c r="P151" s="20" t="s">
        <v>6</v>
      </c>
      <c r="Q151" s="18" t="s">
        <v>45</v>
      </c>
      <c r="R151" s="24" t="s">
        <v>7</v>
      </c>
      <c r="S151" s="18" t="s">
        <v>40</v>
      </c>
      <c r="T151" s="18"/>
      <c r="U151" s="25" t="n">
        <f aca="false">IF(AND($K151="Y",$F151&lt;&gt;"Y",OR($T151="",$T151=Summary!$C$11)),$C151*IF($H151&lt;&gt;"",$H151,$D151)*INDEX(Summary!$C$6:$C$8,MATCH($P151,Summary!$B$6:$B$8,0)),0)</f>
        <v>10</v>
      </c>
      <c r="V151" s="25" t="n">
        <f aca="false">IF(AND($K151="Y",$F151&lt;&gt;"Y",OR($T151="",$T151=Summary!$C$11)),$C151*IF($H151&lt;&gt;"",$H151,$E151)*INDEX(Summary!$C$6:$C$8,MATCH($P151,Summary!$B$6:$B$8,0)),0)</f>
        <v>25</v>
      </c>
      <c r="W151" s="18" t="s">
        <v>118</v>
      </c>
      <c r="X151" s="24"/>
    </row>
    <row r="152" customFormat="false" ht="30" hidden="false" customHeight="true" outlineLevel="0" collapsed="false">
      <c r="A152" s="18" t="s">
        <v>627</v>
      </c>
      <c r="B152" s="19" t="s">
        <v>628</v>
      </c>
      <c r="C152" s="20" t="n">
        <v>1</v>
      </c>
      <c r="D152" s="21" t="n">
        <v>15</v>
      </c>
      <c r="E152" s="21" t="n">
        <v>30</v>
      </c>
      <c r="F152" s="20" t="s">
        <v>101</v>
      </c>
      <c r="G152" s="20" t="s">
        <v>103</v>
      </c>
      <c r="H152" s="22"/>
      <c r="I152" s="23" t="n">
        <f aca="false">IF(AND($K152="Y",$F152&lt;&gt;"Y",OR($T152="",$T152=Summary!$C$11)),$C152*IF($H152&lt;&gt;"",$H152,($D152+$E152)/2)*INDEX(Summary!$C$6:$C$8,MATCH($P152,Summary!$B$6:$B$8,0)),0)</f>
        <v>22.5</v>
      </c>
      <c r="J152" s="20" t="s">
        <v>102</v>
      </c>
      <c r="K152" s="20" t="s">
        <v>103</v>
      </c>
      <c r="L152" s="24" t="s">
        <v>29</v>
      </c>
      <c r="M152" s="24" t="s">
        <v>629</v>
      </c>
      <c r="N152" s="19"/>
      <c r="O152" s="18" t="s">
        <v>212</v>
      </c>
      <c r="P152" s="20" t="s">
        <v>6</v>
      </c>
      <c r="Q152" s="18" t="s">
        <v>45</v>
      </c>
      <c r="R152" s="24" t="s">
        <v>7</v>
      </c>
      <c r="S152" s="18" t="s">
        <v>40</v>
      </c>
      <c r="T152" s="18"/>
      <c r="U152" s="25" t="n">
        <f aca="false">IF(AND($K152="Y",$F152&lt;&gt;"Y",OR($T152="",$T152=Summary!$C$11)),$C152*IF($H152&lt;&gt;"",$H152,$D152)*INDEX(Summary!$C$6:$C$8,MATCH($P152,Summary!$B$6:$B$8,0)),0)</f>
        <v>15</v>
      </c>
      <c r="V152" s="25" t="n">
        <f aca="false">IF(AND($K152="Y",$F152&lt;&gt;"Y",OR($T152="",$T152=Summary!$C$11)),$C152*IF($H152&lt;&gt;"",$H152,$E152)*INDEX(Summary!$C$6:$C$8,MATCH($P152,Summary!$B$6:$B$8,0)),0)</f>
        <v>30</v>
      </c>
      <c r="W152" s="18" t="s">
        <v>118</v>
      </c>
      <c r="X152" s="24"/>
    </row>
    <row r="153" customFormat="false" ht="30" hidden="false" customHeight="true" outlineLevel="0" collapsed="false">
      <c r="A153" s="18" t="s">
        <v>630</v>
      </c>
      <c r="B153" s="19" t="s">
        <v>631</v>
      </c>
      <c r="C153" s="20" t="n">
        <v>1</v>
      </c>
      <c r="D153" s="21" t="n">
        <v>140</v>
      </c>
      <c r="E153" s="21" t="n">
        <v>285</v>
      </c>
      <c r="F153" s="20" t="s">
        <v>101</v>
      </c>
      <c r="G153" s="20" t="s">
        <v>101</v>
      </c>
      <c r="H153" s="22"/>
      <c r="I153" s="23" t="n">
        <f aca="false">IF(AND($K153="Y",$F153&lt;&gt;"Y",OR($T153="",$T153=Summary!$C$11)),$C153*IF($H153&lt;&gt;"",$H153,($D153+$E153)/2)*INDEX(Summary!$C$6:$C$8,MATCH($P153,Summary!$B$6:$B$8,0)),0)</f>
        <v>212.5</v>
      </c>
      <c r="J153" s="20" t="s">
        <v>102</v>
      </c>
      <c r="K153" s="20" t="s">
        <v>103</v>
      </c>
      <c r="L153" s="24" t="s">
        <v>30</v>
      </c>
      <c r="M153" s="24" t="s">
        <v>632</v>
      </c>
      <c r="N153" s="19"/>
      <c r="O153" s="18" t="s">
        <v>106</v>
      </c>
      <c r="P153" s="20" t="s">
        <v>6</v>
      </c>
      <c r="Q153" s="18" t="s">
        <v>44</v>
      </c>
      <c r="R153" s="24" t="s">
        <v>633</v>
      </c>
      <c r="S153" s="18" t="s">
        <v>41</v>
      </c>
      <c r="T153" s="18"/>
      <c r="U153" s="25" t="n">
        <f aca="false">IF(AND($K153="Y",$F153&lt;&gt;"Y",OR($T153="",$T153=Summary!$C$11)),$C153*IF($H153&lt;&gt;"",$H153,$D153)*INDEX(Summary!$C$6:$C$8,MATCH($P153,Summary!$B$6:$B$8,0)),0)</f>
        <v>140</v>
      </c>
      <c r="V153" s="25" t="n">
        <f aca="false">IF(AND($K153="Y",$F153&lt;&gt;"Y",OR($T153="",$T153=Summary!$C$11)),$C153*IF($H153&lt;&gt;"",$H153,$E153)*INDEX(Summary!$C$6:$C$8,MATCH($P153,Summary!$B$6:$B$8,0)),0)</f>
        <v>285</v>
      </c>
      <c r="W153" s="18" t="s">
        <v>118</v>
      </c>
      <c r="X153" s="24"/>
    </row>
    <row r="154" customFormat="false" ht="30" hidden="false" customHeight="true" outlineLevel="0" collapsed="false">
      <c r="A154" s="18" t="s">
        <v>634</v>
      </c>
      <c r="B154" s="19" t="s">
        <v>635</v>
      </c>
      <c r="C154" s="20" t="n">
        <v>1</v>
      </c>
      <c r="D154" s="21" t="n">
        <v>0</v>
      </c>
      <c r="E154" s="21" t="n">
        <v>45</v>
      </c>
      <c r="F154" s="20" t="s">
        <v>101</v>
      </c>
      <c r="G154" s="20" t="s">
        <v>101</v>
      </c>
      <c r="H154" s="22"/>
      <c r="I154" s="23" t="n">
        <f aca="false">IF(AND($K154="Y",$F154&lt;&gt;"Y",OR($T154="",$T154=Summary!$C$11)),$C154*IF($H154&lt;&gt;"",$H154,($D154+$E154)/2)*INDEX(Summary!$C$6:$C$8,MATCH($P154,Summary!$B$6:$B$8,0)),0)</f>
        <v>22.5</v>
      </c>
      <c r="J154" s="20" t="s">
        <v>157</v>
      </c>
      <c r="K154" s="20" t="s">
        <v>103</v>
      </c>
      <c r="L154" s="24" t="s">
        <v>30</v>
      </c>
      <c r="M154" s="24" t="s">
        <v>632</v>
      </c>
      <c r="N154" s="19" t="s">
        <v>636</v>
      </c>
      <c r="O154" s="18" t="s">
        <v>106</v>
      </c>
      <c r="P154" s="20" t="s">
        <v>6</v>
      </c>
      <c r="Q154" s="18" t="s">
        <v>44</v>
      </c>
      <c r="R154" s="24" t="s">
        <v>7</v>
      </c>
      <c r="S154" s="18" t="s">
        <v>41</v>
      </c>
      <c r="T154" s="18"/>
      <c r="U154" s="25" t="n">
        <f aca="false">IF(AND($K154="Y",$F154&lt;&gt;"Y",OR($T154="",$T154=Summary!$C$11)),$C154*IF($H154&lt;&gt;"",$H154,$D154)*INDEX(Summary!$C$6:$C$8,MATCH($P154,Summary!$B$6:$B$8,0)),0)</f>
        <v>0</v>
      </c>
      <c r="V154" s="25" t="n">
        <f aca="false">IF(AND($K154="Y",$F154&lt;&gt;"Y",OR($T154="",$T154=Summary!$C$11)),$C154*IF($H154&lt;&gt;"",$H154,$E154)*INDEX(Summary!$C$6:$C$8,MATCH($P154,Summary!$B$6:$B$8,0)),0)</f>
        <v>45</v>
      </c>
      <c r="W154" s="18" t="s">
        <v>118</v>
      </c>
      <c r="X154" s="24"/>
    </row>
    <row r="155" customFormat="false" ht="30" hidden="false" customHeight="true" outlineLevel="0" collapsed="false">
      <c r="A155" s="18" t="s">
        <v>637</v>
      </c>
      <c r="B155" s="19" t="s">
        <v>638</v>
      </c>
      <c r="C155" s="20" t="n">
        <v>5</v>
      </c>
      <c r="D155" s="21" t="n">
        <v>70</v>
      </c>
      <c r="E155" s="21" t="n">
        <v>130</v>
      </c>
      <c r="F155" s="20" t="s">
        <v>101</v>
      </c>
      <c r="G155" s="20" t="s">
        <v>101</v>
      </c>
      <c r="H155" s="22"/>
      <c r="I155" s="23" t="n">
        <f aca="false">IF(AND($K155="Y",$F155&lt;&gt;"Y",OR($T155="",$T155=Summary!$C$11)),$C155*IF($H155&lt;&gt;"",$H155,($D155+$E155)/2)*INDEX(Summary!$C$6:$C$8,MATCH($P155,Summary!$B$6:$B$8,0)),0)</f>
        <v>500</v>
      </c>
      <c r="J155" s="20" t="s">
        <v>102</v>
      </c>
      <c r="K155" s="20" t="s">
        <v>103</v>
      </c>
      <c r="L155" s="24" t="s">
        <v>30</v>
      </c>
      <c r="M155" s="24" t="s">
        <v>639</v>
      </c>
      <c r="N155" s="19" t="s">
        <v>640</v>
      </c>
      <c r="O155" s="18" t="s">
        <v>106</v>
      </c>
      <c r="P155" s="20" t="s">
        <v>6</v>
      </c>
      <c r="Q155" s="18" t="s">
        <v>44</v>
      </c>
      <c r="R155" s="24" t="s">
        <v>641</v>
      </c>
      <c r="S155" s="18" t="s">
        <v>41</v>
      </c>
      <c r="T155" s="18"/>
      <c r="U155" s="25" t="n">
        <f aca="false">IF(AND($K155="Y",$F155&lt;&gt;"Y",OR($T155="",$T155=Summary!$C$11)),$C155*IF($H155&lt;&gt;"",$H155,$D155)*INDEX(Summary!$C$6:$C$8,MATCH($P155,Summary!$B$6:$B$8,0)),0)</f>
        <v>350</v>
      </c>
      <c r="V155" s="25" t="n">
        <f aca="false">IF(AND($K155="Y",$F155&lt;&gt;"Y",OR($T155="",$T155=Summary!$C$11)),$C155*IF($H155&lt;&gt;"",$H155,$E155)*INDEX(Summary!$C$6:$C$8,MATCH($P155,Summary!$B$6:$B$8,0)),0)</f>
        <v>650</v>
      </c>
      <c r="W155" s="18" t="s">
        <v>118</v>
      </c>
      <c r="X155" s="24"/>
    </row>
    <row r="156" customFormat="false" ht="30" hidden="false" customHeight="true" outlineLevel="0" collapsed="false">
      <c r="A156" s="18" t="s">
        <v>642</v>
      </c>
      <c r="B156" s="19" t="s">
        <v>643</v>
      </c>
      <c r="C156" s="20" t="n">
        <v>1</v>
      </c>
      <c r="D156" s="21" t="n">
        <v>0</v>
      </c>
      <c r="E156" s="21" t="n">
        <v>55</v>
      </c>
      <c r="F156" s="20" t="s">
        <v>101</v>
      </c>
      <c r="G156" s="20" t="s">
        <v>101</v>
      </c>
      <c r="H156" s="22"/>
      <c r="I156" s="23" t="n">
        <f aca="false">IF(AND($K156="Y",$F156&lt;&gt;"Y",OR($T156="",$T156=Summary!$C$11)),$C156*IF($H156&lt;&gt;"",$H156,($D156+$E156)/2)*INDEX(Summary!$C$6:$C$8,MATCH($P156,Summary!$B$6:$B$8,0)),0)</f>
        <v>27.5</v>
      </c>
      <c r="J156" s="20" t="s">
        <v>157</v>
      </c>
      <c r="K156" s="20" t="s">
        <v>103</v>
      </c>
      <c r="L156" s="24" t="s">
        <v>30</v>
      </c>
      <c r="M156" s="24" t="s">
        <v>639</v>
      </c>
      <c r="N156" s="19" t="s">
        <v>644</v>
      </c>
      <c r="O156" s="18" t="s">
        <v>140</v>
      </c>
      <c r="P156" s="20" t="s">
        <v>6</v>
      </c>
      <c r="Q156" s="18" t="s">
        <v>44</v>
      </c>
      <c r="R156" s="24" t="s">
        <v>645</v>
      </c>
      <c r="S156" s="18" t="s">
        <v>41</v>
      </c>
      <c r="T156" s="18"/>
      <c r="U156" s="25" t="n">
        <f aca="false">IF(AND($K156="Y",$F156&lt;&gt;"Y",OR($T156="",$T156=Summary!$C$11)),$C156*IF($H156&lt;&gt;"",$H156,$D156)*INDEX(Summary!$C$6:$C$8,MATCH($P156,Summary!$B$6:$B$8,0)),0)</f>
        <v>0</v>
      </c>
      <c r="V156" s="25" t="n">
        <f aca="false">IF(AND($K156="Y",$F156&lt;&gt;"Y",OR($T156="",$T156=Summary!$C$11)),$C156*IF($H156&lt;&gt;"",$H156,$E156)*INDEX(Summary!$C$6:$C$8,MATCH($P156,Summary!$B$6:$B$8,0)),0)</f>
        <v>55</v>
      </c>
      <c r="W156" s="18" t="s">
        <v>118</v>
      </c>
      <c r="X156" s="24"/>
    </row>
    <row r="157" customFormat="false" ht="30" hidden="false" customHeight="true" outlineLevel="0" collapsed="false">
      <c r="A157" s="18" t="s">
        <v>646</v>
      </c>
      <c r="B157" s="19" t="s">
        <v>647</v>
      </c>
      <c r="C157" s="20" t="n">
        <v>5</v>
      </c>
      <c r="D157" s="21" t="n">
        <v>0</v>
      </c>
      <c r="E157" s="21" t="n">
        <v>11</v>
      </c>
      <c r="F157" s="20" t="s">
        <v>101</v>
      </c>
      <c r="G157" s="20" t="s">
        <v>101</v>
      </c>
      <c r="H157" s="22"/>
      <c r="I157" s="23" t="n">
        <f aca="false">IF(AND($K157="Y",$F157&lt;&gt;"Y",OR($T157="",$T157=Summary!$C$11)),$C157*IF($H157&lt;&gt;"",$H157,($D157+$E157)/2)*INDEX(Summary!$C$6:$C$8,MATCH($P157,Summary!$B$6:$B$8,0)),0)</f>
        <v>27.5</v>
      </c>
      <c r="J157" s="20" t="s">
        <v>157</v>
      </c>
      <c r="K157" s="20" t="s">
        <v>103</v>
      </c>
      <c r="L157" s="24" t="s">
        <v>30</v>
      </c>
      <c r="M157" s="24" t="s">
        <v>639</v>
      </c>
      <c r="N157" s="19"/>
      <c r="O157" s="18" t="s">
        <v>106</v>
      </c>
      <c r="P157" s="20" t="s">
        <v>6</v>
      </c>
      <c r="Q157" s="18" t="s">
        <v>44</v>
      </c>
      <c r="R157" s="24" t="s">
        <v>185</v>
      </c>
      <c r="S157" s="18" t="s">
        <v>41</v>
      </c>
      <c r="T157" s="18"/>
      <c r="U157" s="25" t="n">
        <f aca="false">IF(AND($K157="Y",$F157&lt;&gt;"Y",OR($T157="",$T157=Summary!$C$11)),$C157*IF($H157&lt;&gt;"",$H157,$D157)*INDEX(Summary!$C$6:$C$8,MATCH($P157,Summary!$B$6:$B$8,0)),0)</f>
        <v>0</v>
      </c>
      <c r="V157" s="25" t="n">
        <f aca="false">IF(AND($K157="Y",$F157&lt;&gt;"Y",OR($T157="",$T157=Summary!$C$11)),$C157*IF($H157&lt;&gt;"",$H157,$E157)*INDEX(Summary!$C$6:$C$8,MATCH($P157,Summary!$B$6:$B$8,0)),0)</f>
        <v>55</v>
      </c>
      <c r="W157" s="18" t="s">
        <v>118</v>
      </c>
      <c r="X157" s="24"/>
    </row>
    <row r="158" customFormat="false" ht="30" hidden="false" customHeight="true" outlineLevel="0" collapsed="false">
      <c r="A158" s="18" t="s">
        <v>648</v>
      </c>
      <c r="B158" s="19" t="s">
        <v>649</v>
      </c>
      <c r="C158" s="20" t="n">
        <v>1</v>
      </c>
      <c r="D158" s="21" t="n">
        <v>170</v>
      </c>
      <c r="E158" s="21" t="n">
        <v>355</v>
      </c>
      <c r="F158" s="20" t="s">
        <v>101</v>
      </c>
      <c r="G158" s="20" t="s">
        <v>101</v>
      </c>
      <c r="H158" s="22"/>
      <c r="I158" s="23" t="n">
        <f aca="false">IF(AND($K158="Y",$F158&lt;&gt;"Y",OR($T158="",$T158=Summary!$C$11)),$C158*IF($H158&lt;&gt;"",$H158,($D158+$E158)/2)*INDEX(Summary!$C$6:$C$8,MATCH($P158,Summary!$B$6:$B$8,0)),0)</f>
        <v>262.5</v>
      </c>
      <c r="J158" s="20" t="s">
        <v>102</v>
      </c>
      <c r="K158" s="20" t="s">
        <v>103</v>
      </c>
      <c r="L158" s="24" t="s">
        <v>30</v>
      </c>
      <c r="M158" s="24" t="s">
        <v>650</v>
      </c>
      <c r="N158" s="19" t="s">
        <v>651</v>
      </c>
      <c r="O158" s="18" t="s">
        <v>106</v>
      </c>
      <c r="P158" s="20" t="s">
        <v>6</v>
      </c>
      <c r="Q158" s="18" t="s">
        <v>44</v>
      </c>
      <c r="R158" s="24" t="s">
        <v>652</v>
      </c>
      <c r="S158" s="18" t="s">
        <v>41</v>
      </c>
      <c r="T158" s="18"/>
      <c r="U158" s="25" t="n">
        <f aca="false">IF(AND($K158="Y",$F158&lt;&gt;"Y",OR($T158="",$T158=Summary!$C$11)),$C158*IF($H158&lt;&gt;"",$H158,$D158)*INDEX(Summary!$C$6:$C$8,MATCH($P158,Summary!$B$6:$B$8,0)),0)</f>
        <v>170</v>
      </c>
      <c r="V158" s="25" t="n">
        <f aca="false">IF(AND($K158="Y",$F158&lt;&gt;"Y",OR($T158="",$T158=Summary!$C$11)),$C158*IF($H158&lt;&gt;"",$H158,$E158)*INDEX(Summary!$C$6:$C$8,MATCH($P158,Summary!$B$6:$B$8,0)),0)</f>
        <v>355</v>
      </c>
      <c r="W158" s="18" t="s">
        <v>118</v>
      </c>
      <c r="X158" s="24"/>
    </row>
    <row r="159" customFormat="false" ht="30" hidden="false" customHeight="true" outlineLevel="0" collapsed="false">
      <c r="A159" s="18" t="s">
        <v>653</v>
      </c>
      <c r="B159" s="19" t="s">
        <v>654</v>
      </c>
      <c r="C159" s="20" t="n">
        <v>2</v>
      </c>
      <c r="D159" s="21" t="n">
        <v>65</v>
      </c>
      <c r="E159" s="21" t="n">
        <v>115</v>
      </c>
      <c r="F159" s="20" t="s">
        <v>101</v>
      </c>
      <c r="G159" s="20" t="s">
        <v>101</v>
      </c>
      <c r="H159" s="22"/>
      <c r="I159" s="23" t="n">
        <f aca="false">IF(AND($K159="Y",$F159&lt;&gt;"Y",OR($T159="",$T159=Summary!$C$11)),$C159*IF($H159&lt;&gt;"",$H159,($D159+$E159)/2)*INDEX(Summary!$C$6:$C$8,MATCH($P159,Summary!$B$6:$B$8,0)),0)</f>
        <v>180</v>
      </c>
      <c r="J159" s="20" t="s">
        <v>102</v>
      </c>
      <c r="K159" s="20" t="s">
        <v>103</v>
      </c>
      <c r="L159" s="24" t="s">
        <v>30</v>
      </c>
      <c r="M159" s="24" t="s">
        <v>655</v>
      </c>
      <c r="N159" s="19"/>
      <c r="O159" s="18" t="s">
        <v>106</v>
      </c>
      <c r="P159" s="20" t="s">
        <v>6</v>
      </c>
      <c r="Q159" s="18" t="s">
        <v>44</v>
      </c>
      <c r="R159" s="24" t="s">
        <v>327</v>
      </c>
      <c r="S159" s="18" t="s">
        <v>41</v>
      </c>
      <c r="T159" s="18"/>
      <c r="U159" s="25" t="n">
        <f aca="false">IF(AND($K159="Y",$F159&lt;&gt;"Y",OR($T159="",$T159=Summary!$C$11)),$C159*IF($H159&lt;&gt;"",$H159,$D159)*INDEX(Summary!$C$6:$C$8,MATCH($P159,Summary!$B$6:$B$8,0)),0)</f>
        <v>130</v>
      </c>
      <c r="V159" s="25" t="n">
        <f aca="false">IF(AND($K159="Y",$F159&lt;&gt;"Y",OR($T159="",$T159=Summary!$C$11)),$C159*IF($H159&lt;&gt;"",$H159,$E159)*INDEX(Summary!$C$6:$C$8,MATCH($P159,Summary!$B$6:$B$8,0)),0)</f>
        <v>230</v>
      </c>
      <c r="W159" s="18" t="s">
        <v>118</v>
      </c>
      <c r="X159" s="24"/>
    </row>
    <row r="160" customFormat="false" ht="30" hidden="false" customHeight="true" outlineLevel="0" collapsed="false">
      <c r="A160" s="18" t="s">
        <v>656</v>
      </c>
      <c r="B160" s="19" t="s">
        <v>657</v>
      </c>
      <c r="C160" s="20" t="n">
        <v>8</v>
      </c>
      <c r="D160" s="21" t="n">
        <v>11</v>
      </c>
      <c r="E160" s="21" t="n">
        <v>20</v>
      </c>
      <c r="F160" s="20" t="s">
        <v>101</v>
      </c>
      <c r="G160" s="20" t="s">
        <v>101</v>
      </c>
      <c r="H160" s="22"/>
      <c r="I160" s="23" t="n">
        <f aca="false">IF(AND($K160="Y",$F160&lt;&gt;"Y",OR($T160="",$T160=Summary!$C$11)),$C160*IF($H160&lt;&gt;"",$H160,($D160+$E160)/2)*INDEX(Summary!$C$6:$C$8,MATCH($P160,Summary!$B$6:$B$8,0)),0)</f>
        <v>124</v>
      </c>
      <c r="J160" s="20" t="s">
        <v>102</v>
      </c>
      <c r="K160" s="20" t="s">
        <v>103</v>
      </c>
      <c r="L160" s="24" t="s">
        <v>30</v>
      </c>
      <c r="M160" s="24" t="s">
        <v>655</v>
      </c>
      <c r="N160" s="19"/>
      <c r="O160" s="18" t="s">
        <v>106</v>
      </c>
      <c r="P160" s="20" t="s">
        <v>6</v>
      </c>
      <c r="Q160" s="18" t="s">
        <v>44</v>
      </c>
      <c r="R160" s="24" t="s">
        <v>327</v>
      </c>
      <c r="S160" s="18" t="s">
        <v>41</v>
      </c>
      <c r="T160" s="18"/>
      <c r="U160" s="25" t="n">
        <f aca="false">IF(AND($K160="Y",$F160&lt;&gt;"Y",OR($T160="",$T160=Summary!$C$11)),$C160*IF($H160&lt;&gt;"",$H160,$D160)*INDEX(Summary!$C$6:$C$8,MATCH($P160,Summary!$B$6:$B$8,0)),0)</f>
        <v>88</v>
      </c>
      <c r="V160" s="25" t="n">
        <f aca="false">IF(AND($K160="Y",$F160&lt;&gt;"Y",OR($T160="",$T160=Summary!$C$11)),$C160*IF($H160&lt;&gt;"",$H160,$E160)*INDEX(Summary!$C$6:$C$8,MATCH($P160,Summary!$B$6:$B$8,0)),0)</f>
        <v>160</v>
      </c>
      <c r="W160" s="18" t="s">
        <v>118</v>
      </c>
      <c r="X160" s="24"/>
    </row>
    <row r="161" customFormat="false" ht="30" hidden="false" customHeight="true" outlineLevel="0" collapsed="false">
      <c r="A161" s="18" t="s">
        <v>658</v>
      </c>
      <c r="B161" s="19" t="s">
        <v>659</v>
      </c>
      <c r="C161" s="20" t="n">
        <v>1</v>
      </c>
      <c r="D161" s="21" t="n">
        <v>30</v>
      </c>
      <c r="E161" s="21" t="n">
        <v>65</v>
      </c>
      <c r="F161" s="20" t="s">
        <v>101</v>
      </c>
      <c r="G161" s="20" t="s">
        <v>101</v>
      </c>
      <c r="H161" s="22"/>
      <c r="I161" s="23" t="n">
        <f aca="false">IF(AND($K161="Y",$F161&lt;&gt;"Y",OR($T161="",$T161=Summary!$C$11)),$C161*IF($H161&lt;&gt;"",$H161,($D161+$E161)/2)*INDEX(Summary!$C$6:$C$8,MATCH($P161,Summary!$B$6:$B$8,0)),0)</f>
        <v>47.5</v>
      </c>
      <c r="J161" s="20" t="s">
        <v>102</v>
      </c>
      <c r="K161" s="20" t="s">
        <v>103</v>
      </c>
      <c r="L161" s="24" t="s">
        <v>30</v>
      </c>
      <c r="M161" s="24" t="s">
        <v>655</v>
      </c>
      <c r="N161" s="19"/>
      <c r="O161" s="18" t="s">
        <v>140</v>
      </c>
      <c r="P161" s="20" t="s">
        <v>6</v>
      </c>
      <c r="Q161" s="18" t="s">
        <v>44</v>
      </c>
      <c r="R161" s="24" t="s">
        <v>327</v>
      </c>
      <c r="S161" s="18" t="s">
        <v>41</v>
      </c>
      <c r="T161" s="18"/>
      <c r="U161" s="25" t="n">
        <f aca="false">IF(AND($K161="Y",$F161&lt;&gt;"Y",OR($T161="",$T161=Summary!$C$11)),$C161*IF($H161&lt;&gt;"",$H161,$D161)*INDEX(Summary!$C$6:$C$8,MATCH($P161,Summary!$B$6:$B$8,0)),0)</f>
        <v>30</v>
      </c>
      <c r="V161" s="25" t="n">
        <f aca="false">IF(AND($K161="Y",$F161&lt;&gt;"Y",OR($T161="",$T161=Summary!$C$11)),$C161*IF($H161&lt;&gt;"",$H161,$E161)*INDEX(Summary!$C$6:$C$8,MATCH($P161,Summary!$B$6:$B$8,0)),0)</f>
        <v>65</v>
      </c>
      <c r="W161" s="18" t="s">
        <v>118</v>
      </c>
      <c r="X161" s="24"/>
    </row>
    <row r="162" customFormat="false" ht="30" hidden="false" customHeight="true" outlineLevel="0" collapsed="false">
      <c r="A162" s="18" t="s">
        <v>660</v>
      </c>
      <c r="B162" s="19" t="s">
        <v>661</v>
      </c>
      <c r="C162" s="20" t="n">
        <v>1</v>
      </c>
      <c r="D162" s="21" t="n">
        <v>30</v>
      </c>
      <c r="E162" s="21" t="n">
        <v>85</v>
      </c>
      <c r="F162" s="20" t="s">
        <v>101</v>
      </c>
      <c r="G162" s="20" t="s">
        <v>101</v>
      </c>
      <c r="H162" s="22"/>
      <c r="I162" s="23" t="n">
        <f aca="false">IF(AND($K162="Y",$F162&lt;&gt;"Y",OR($T162="",$T162=Summary!$C$11)),$C162*IF($H162&lt;&gt;"",$H162,($D162+$E162)/2)*INDEX(Summary!$C$6:$C$8,MATCH($P162,Summary!$B$6:$B$8,0)),0)</f>
        <v>57.5</v>
      </c>
      <c r="J162" s="20" t="s">
        <v>102</v>
      </c>
      <c r="K162" s="20" t="s">
        <v>103</v>
      </c>
      <c r="L162" s="24" t="s">
        <v>30</v>
      </c>
      <c r="M162" s="24" t="s">
        <v>655</v>
      </c>
      <c r="N162" s="19" t="s">
        <v>662</v>
      </c>
      <c r="O162" s="18" t="s">
        <v>106</v>
      </c>
      <c r="P162" s="20" t="s">
        <v>6</v>
      </c>
      <c r="Q162" s="18" t="s">
        <v>44</v>
      </c>
      <c r="R162" s="24" t="s">
        <v>185</v>
      </c>
      <c r="S162" s="18" t="s">
        <v>41</v>
      </c>
      <c r="T162" s="18"/>
      <c r="U162" s="25" t="n">
        <f aca="false">IF(AND($K162="Y",$F162&lt;&gt;"Y",OR($T162="",$T162=Summary!$C$11)),$C162*IF($H162&lt;&gt;"",$H162,$D162)*INDEX(Summary!$C$6:$C$8,MATCH($P162,Summary!$B$6:$B$8,0)),0)</f>
        <v>30</v>
      </c>
      <c r="V162" s="25" t="n">
        <f aca="false">IF(AND($K162="Y",$F162&lt;&gt;"Y",OR($T162="",$T162=Summary!$C$11)),$C162*IF($H162&lt;&gt;"",$H162,$E162)*INDEX(Summary!$C$6:$C$8,MATCH($P162,Summary!$B$6:$B$8,0)),0)</f>
        <v>85</v>
      </c>
      <c r="W162" s="18" t="s">
        <v>118</v>
      </c>
      <c r="X162" s="24"/>
    </row>
    <row r="163" customFormat="false" ht="30" hidden="false" customHeight="true" outlineLevel="0" collapsed="false">
      <c r="A163" s="18" t="s">
        <v>663</v>
      </c>
      <c r="B163" s="19" t="s">
        <v>664</v>
      </c>
      <c r="C163" s="20" t="n">
        <v>1</v>
      </c>
      <c r="D163" s="21" t="n">
        <v>20</v>
      </c>
      <c r="E163" s="21" t="n">
        <v>45</v>
      </c>
      <c r="F163" s="20" t="s">
        <v>101</v>
      </c>
      <c r="G163" s="20" t="s">
        <v>101</v>
      </c>
      <c r="H163" s="22"/>
      <c r="I163" s="23" t="n">
        <f aca="false">IF(AND($K163="Y",$F163&lt;&gt;"Y",OR($T163="",$T163=Summary!$C$11)),$C163*IF($H163&lt;&gt;"",$H163,($D163+$E163)/2)*INDEX(Summary!$C$6:$C$8,MATCH($P163,Summary!$B$6:$B$8,0)),0)</f>
        <v>32.5</v>
      </c>
      <c r="J163" s="20" t="s">
        <v>102</v>
      </c>
      <c r="K163" s="20" t="s">
        <v>103</v>
      </c>
      <c r="L163" s="24" t="s">
        <v>30</v>
      </c>
      <c r="M163" s="24" t="s">
        <v>655</v>
      </c>
      <c r="N163" s="19"/>
      <c r="O163" s="18" t="s">
        <v>106</v>
      </c>
      <c r="P163" s="20" t="s">
        <v>6</v>
      </c>
      <c r="Q163" s="18" t="s">
        <v>44</v>
      </c>
      <c r="R163" s="24" t="s">
        <v>665</v>
      </c>
      <c r="S163" s="18" t="s">
        <v>41</v>
      </c>
      <c r="T163" s="18"/>
      <c r="U163" s="25" t="n">
        <f aca="false">IF(AND($K163="Y",$F163&lt;&gt;"Y",OR($T163="",$T163=Summary!$C$11)),$C163*IF($H163&lt;&gt;"",$H163,$D163)*INDEX(Summary!$C$6:$C$8,MATCH($P163,Summary!$B$6:$B$8,0)),0)</f>
        <v>20</v>
      </c>
      <c r="V163" s="25" t="n">
        <f aca="false">IF(AND($K163="Y",$F163&lt;&gt;"Y",OR($T163="",$T163=Summary!$C$11)),$C163*IF($H163&lt;&gt;"",$H163,$E163)*INDEX(Summary!$C$6:$C$8,MATCH($P163,Summary!$B$6:$B$8,0)),0)</f>
        <v>45</v>
      </c>
      <c r="W163" s="18" t="s">
        <v>118</v>
      </c>
      <c r="X163" s="24"/>
    </row>
    <row r="164" customFormat="false" ht="30" hidden="false" customHeight="true" outlineLevel="0" collapsed="false">
      <c r="A164" s="18" t="s">
        <v>666</v>
      </c>
      <c r="B164" s="19" t="s">
        <v>667</v>
      </c>
      <c r="C164" s="20" t="n">
        <v>1</v>
      </c>
      <c r="D164" s="21" t="n">
        <v>55</v>
      </c>
      <c r="E164" s="21" t="n">
        <v>115</v>
      </c>
      <c r="F164" s="20" t="s">
        <v>101</v>
      </c>
      <c r="G164" s="20" t="s">
        <v>101</v>
      </c>
      <c r="H164" s="22"/>
      <c r="I164" s="23" t="n">
        <f aca="false">IF(AND($K164="Y",$F164&lt;&gt;"Y",OR($T164="",$T164=Summary!$C$11)),$C164*IF($H164&lt;&gt;"",$H164,($D164+$E164)/2)*INDEX(Summary!$C$6:$C$8,MATCH($P164,Summary!$B$6:$B$8,0)),0)</f>
        <v>85</v>
      </c>
      <c r="J164" s="20" t="s">
        <v>102</v>
      </c>
      <c r="K164" s="20" t="s">
        <v>103</v>
      </c>
      <c r="L164" s="24" t="s">
        <v>30</v>
      </c>
      <c r="M164" s="24" t="s">
        <v>655</v>
      </c>
      <c r="N164" s="19"/>
      <c r="O164" s="18" t="s">
        <v>106</v>
      </c>
      <c r="P164" s="20" t="s">
        <v>6</v>
      </c>
      <c r="Q164" s="18" t="s">
        <v>44</v>
      </c>
      <c r="R164" s="24" t="s">
        <v>668</v>
      </c>
      <c r="S164" s="18" t="s">
        <v>41</v>
      </c>
      <c r="T164" s="18"/>
      <c r="U164" s="25" t="n">
        <f aca="false">IF(AND($K164="Y",$F164&lt;&gt;"Y",OR($T164="",$T164=Summary!$C$11)),$C164*IF($H164&lt;&gt;"",$H164,$D164)*INDEX(Summary!$C$6:$C$8,MATCH($P164,Summary!$B$6:$B$8,0)),0)</f>
        <v>55</v>
      </c>
      <c r="V164" s="25" t="n">
        <f aca="false">IF(AND($K164="Y",$F164&lt;&gt;"Y",OR($T164="",$T164=Summary!$C$11)),$C164*IF($H164&lt;&gt;"",$H164,$E164)*INDEX(Summary!$C$6:$C$8,MATCH($P164,Summary!$B$6:$B$8,0)),0)</f>
        <v>115</v>
      </c>
      <c r="W164" s="18" t="s">
        <v>118</v>
      </c>
      <c r="X164" s="24"/>
    </row>
    <row r="165" customFormat="false" ht="30" hidden="false" customHeight="true" outlineLevel="0" collapsed="false">
      <c r="A165" s="18" t="s">
        <v>669</v>
      </c>
      <c r="B165" s="19" t="s">
        <v>670</v>
      </c>
      <c r="C165" s="20" t="n">
        <v>1</v>
      </c>
      <c r="D165" s="21" t="n">
        <v>20</v>
      </c>
      <c r="E165" s="21" t="n">
        <v>45</v>
      </c>
      <c r="F165" s="20" t="s">
        <v>101</v>
      </c>
      <c r="G165" s="20" t="s">
        <v>101</v>
      </c>
      <c r="H165" s="22"/>
      <c r="I165" s="23" t="n">
        <f aca="false">IF(AND($K165="Y",$F165&lt;&gt;"Y",OR($T165="",$T165=Summary!$C$11)),$C165*IF($H165&lt;&gt;"",$H165,($D165+$E165)/2)*INDEX(Summary!$C$6:$C$8,MATCH($P165,Summary!$B$6:$B$8,0)),0)</f>
        <v>32.5</v>
      </c>
      <c r="J165" s="20" t="s">
        <v>102</v>
      </c>
      <c r="K165" s="20" t="s">
        <v>103</v>
      </c>
      <c r="L165" s="24" t="s">
        <v>30</v>
      </c>
      <c r="M165" s="24" t="s">
        <v>655</v>
      </c>
      <c r="N165" s="19"/>
      <c r="O165" s="18" t="s">
        <v>212</v>
      </c>
      <c r="P165" s="20" t="s">
        <v>6</v>
      </c>
      <c r="Q165" s="18" t="s">
        <v>44</v>
      </c>
      <c r="R165" s="24" t="s">
        <v>150</v>
      </c>
      <c r="S165" s="18" t="s">
        <v>41</v>
      </c>
      <c r="T165" s="18"/>
      <c r="U165" s="25" t="n">
        <f aca="false">IF(AND($K165="Y",$F165&lt;&gt;"Y",OR($T165="",$T165=Summary!$C$11)),$C165*IF($H165&lt;&gt;"",$H165,$D165)*INDEX(Summary!$C$6:$C$8,MATCH($P165,Summary!$B$6:$B$8,0)),0)</f>
        <v>20</v>
      </c>
      <c r="V165" s="25" t="n">
        <f aca="false">IF(AND($K165="Y",$F165&lt;&gt;"Y",OR($T165="",$T165=Summary!$C$11)),$C165*IF($H165&lt;&gt;"",$H165,$E165)*INDEX(Summary!$C$6:$C$8,MATCH($P165,Summary!$B$6:$B$8,0)),0)</f>
        <v>45</v>
      </c>
      <c r="W165" s="18" t="s">
        <v>118</v>
      </c>
      <c r="X165" s="24"/>
    </row>
    <row r="166" customFormat="false" ht="30" hidden="false" customHeight="true" outlineLevel="0" collapsed="false">
      <c r="A166" s="18" t="s">
        <v>671</v>
      </c>
      <c r="B166" s="19" t="s">
        <v>672</v>
      </c>
      <c r="C166" s="20" t="n">
        <v>1</v>
      </c>
      <c r="D166" s="21" t="n">
        <v>45</v>
      </c>
      <c r="E166" s="21" t="n">
        <v>115</v>
      </c>
      <c r="F166" s="20" t="s">
        <v>101</v>
      </c>
      <c r="G166" s="20" t="s">
        <v>101</v>
      </c>
      <c r="H166" s="22"/>
      <c r="I166" s="23" t="n">
        <f aca="false">IF(AND($K166="Y",$F166&lt;&gt;"Y",OR($T166="",$T166=Summary!$C$11)),$C166*IF($H166&lt;&gt;"",$H166,($D166+$E166)/2)*INDEX(Summary!$C$6:$C$8,MATCH($P166,Summary!$B$6:$B$8,0)),0)</f>
        <v>80</v>
      </c>
      <c r="J166" s="20" t="s">
        <v>102</v>
      </c>
      <c r="K166" s="20" t="s">
        <v>103</v>
      </c>
      <c r="L166" s="24" t="s">
        <v>30</v>
      </c>
      <c r="M166" s="24" t="s">
        <v>655</v>
      </c>
      <c r="N166" s="19"/>
      <c r="O166" s="18" t="s">
        <v>106</v>
      </c>
      <c r="P166" s="20" t="s">
        <v>6</v>
      </c>
      <c r="Q166" s="18" t="s">
        <v>44</v>
      </c>
      <c r="R166" s="24" t="s">
        <v>185</v>
      </c>
      <c r="S166" s="18" t="s">
        <v>41</v>
      </c>
      <c r="T166" s="18"/>
      <c r="U166" s="25" t="n">
        <f aca="false">IF(AND($K166="Y",$F166&lt;&gt;"Y",OR($T166="",$T166=Summary!$C$11)),$C166*IF($H166&lt;&gt;"",$H166,$D166)*INDEX(Summary!$C$6:$C$8,MATCH($P166,Summary!$B$6:$B$8,0)),0)</f>
        <v>45</v>
      </c>
      <c r="V166" s="25" t="n">
        <f aca="false">IF(AND($K166="Y",$F166&lt;&gt;"Y",OR($T166="",$T166=Summary!$C$11)),$C166*IF($H166&lt;&gt;"",$H166,$E166)*INDEX(Summary!$C$6:$C$8,MATCH($P166,Summary!$B$6:$B$8,0)),0)</f>
        <v>115</v>
      </c>
      <c r="W166" s="18" t="s">
        <v>118</v>
      </c>
      <c r="X166" s="24"/>
    </row>
    <row r="167" customFormat="false" ht="30" hidden="false" customHeight="true" outlineLevel="0" collapsed="false">
      <c r="A167" s="18" t="s">
        <v>673</v>
      </c>
      <c r="B167" s="19" t="s">
        <v>674</v>
      </c>
      <c r="C167" s="20" t="n">
        <v>1</v>
      </c>
      <c r="D167" s="21" t="n">
        <v>0</v>
      </c>
      <c r="E167" s="21" t="n">
        <v>0</v>
      </c>
      <c r="F167" s="20" t="s">
        <v>103</v>
      </c>
      <c r="G167" s="20" t="s">
        <v>101</v>
      </c>
      <c r="H167" s="22"/>
      <c r="I167" s="23" t="n">
        <f aca="false">IF(AND($K167="Y",$F167&lt;&gt;"Y",OR($T167="",$T167=Summary!$C$11)),$C167*IF($H167&lt;&gt;"",$H167,($D167+$E167)/2)*INDEX(Summary!$C$6:$C$8,MATCH($P167,Summary!$B$6:$B$8,0)),0)</f>
        <v>0</v>
      </c>
      <c r="J167" s="20" t="s">
        <v>46</v>
      </c>
      <c r="K167" s="20" t="s">
        <v>103</v>
      </c>
      <c r="L167" s="24" t="s">
        <v>30</v>
      </c>
      <c r="M167" s="24" t="s">
        <v>675</v>
      </c>
      <c r="N167" s="19" t="s">
        <v>676</v>
      </c>
      <c r="O167" s="18" t="s">
        <v>106</v>
      </c>
      <c r="P167" s="20" t="s">
        <v>6</v>
      </c>
      <c r="Q167" s="18" t="s">
        <v>46</v>
      </c>
      <c r="R167" s="24" t="s">
        <v>7</v>
      </c>
      <c r="S167" s="18" t="s">
        <v>40</v>
      </c>
      <c r="T167" s="18"/>
      <c r="U167" s="25" t="n">
        <f aca="false">IF(AND($K167="Y",$F167&lt;&gt;"Y",OR($T167="",$T167=Summary!$C$11)),$C167*IF($H167&lt;&gt;"",$H167,$D167)*INDEX(Summary!$C$6:$C$8,MATCH($P167,Summary!$B$6:$B$8,0)),0)</f>
        <v>0</v>
      </c>
      <c r="V167" s="25" t="n">
        <f aca="false">IF(AND($K167="Y",$F167&lt;&gt;"Y",OR($T167="",$T167=Summary!$C$11)),$C167*IF($H167&lt;&gt;"",$H167,$E167)*INDEX(Summary!$C$6:$C$8,MATCH($P167,Summary!$B$6:$B$8,0)),0)</f>
        <v>0</v>
      </c>
      <c r="W167" s="18" t="s">
        <v>118</v>
      </c>
      <c r="X167" s="24"/>
    </row>
    <row r="168" customFormat="false" ht="30" hidden="false" customHeight="true" outlineLevel="0" collapsed="false">
      <c r="A168" s="18" t="s">
        <v>677</v>
      </c>
      <c r="B168" s="19" t="s">
        <v>678</v>
      </c>
      <c r="C168" s="20" t="n">
        <v>1</v>
      </c>
      <c r="D168" s="21" t="n">
        <v>200</v>
      </c>
      <c r="E168" s="21" t="n">
        <v>275</v>
      </c>
      <c r="F168" s="20" t="s">
        <v>101</v>
      </c>
      <c r="G168" s="20" t="s">
        <v>101</v>
      </c>
      <c r="H168" s="22"/>
      <c r="I168" s="23" t="n">
        <f aca="false">IF(AND($K168="Y",$F168&lt;&gt;"Y",OR($T168="",$T168=Summary!$C$11)),$C168*IF($H168&lt;&gt;"",$H168,($D168+$E168)/2)*INDEX(Summary!$C$6:$C$8,MATCH($P168,Summary!$B$6:$B$8,0)),0)</f>
        <v>237.5</v>
      </c>
      <c r="J168" s="20" t="s">
        <v>102</v>
      </c>
      <c r="K168" s="20" t="s">
        <v>103</v>
      </c>
      <c r="L168" s="24" t="s">
        <v>31</v>
      </c>
      <c r="M168" s="24" t="s">
        <v>679</v>
      </c>
      <c r="N168" s="19"/>
      <c r="O168" s="18" t="s">
        <v>106</v>
      </c>
      <c r="P168" s="20" t="s">
        <v>6</v>
      </c>
      <c r="Q168" s="18" t="s">
        <v>44</v>
      </c>
      <c r="R168" s="24" t="s">
        <v>680</v>
      </c>
      <c r="S168" s="18" t="s">
        <v>39</v>
      </c>
      <c r="T168" s="18"/>
      <c r="U168" s="25" t="n">
        <f aca="false">IF(AND($K168="Y",$F168&lt;&gt;"Y",OR($T168="",$T168=Summary!$C$11)),$C168*IF($H168&lt;&gt;"",$H168,$D168)*INDEX(Summary!$C$6:$C$8,MATCH($P168,Summary!$B$6:$B$8,0)),0)</f>
        <v>200</v>
      </c>
      <c r="V168" s="25" t="n">
        <f aca="false">IF(AND($K168="Y",$F168&lt;&gt;"Y",OR($T168="",$T168=Summary!$C$11)),$C168*IF($H168&lt;&gt;"",$H168,$E168)*INDEX(Summary!$C$6:$C$8,MATCH($P168,Summary!$B$6:$B$8,0)),0)</f>
        <v>275</v>
      </c>
      <c r="W168" s="18" t="s">
        <v>62</v>
      </c>
      <c r="X168" s="26" t="s">
        <v>681</v>
      </c>
    </row>
    <row r="169" customFormat="false" ht="30" hidden="false" customHeight="true" outlineLevel="0" collapsed="false">
      <c r="A169" s="18" t="s">
        <v>682</v>
      </c>
      <c r="B169" s="19" t="s">
        <v>683</v>
      </c>
      <c r="C169" s="20" t="n">
        <v>1</v>
      </c>
      <c r="D169" s="21" t="n">
        <v>50</v>
      </c>
      <c r="E169" s="21" t="n">
        <v>50</v>
      </c>
      <c r="F169" s="20" t="s">
        <v>101</v>
      </c>
      <c r="G169" s="20" t="s">
        <v>101</v>
      </c>
      <c r="H169" s="22"/>
      <c r="I169" s="23" t="n">
        <f aca="false">IF(AND($K169="Y",$F169&lt;&gt;"Y",OR($T169="",$T169=Summary!$C$11)),$C169*IF($H169&lt;&gt;"",$H169,($D169+$E169)/2)*INDEX(Summary!$C$6:$C$8,MATCH($P169,Summary!$B$6:$B$8,0)),0)</f>
        <v>50</v>
      </c>
      <c r="J169" s="20" t="s">
        <v>102</v>
      </c>
      <c r="K169" s="20" t="s">
        <v>103</v>
      </c>
      <c r="L169" s="24" t="s">
        <v>31</v>
      </c>
      <c r="M169" s="24" t="s">
        <v>679</v>
      </c>
      <c r="N169" s="19"/>
      <c r="O169" s="18" t="s">
        <v>106</v>
      </c>
      <c r="P169" s="20" t="s">
        <v>6</v>
      </c>
      <c r="Q169" s="18" t="s">
        <v>44</v>
      </c>
      <c r="R169" s="24" t="s">
        <v>680</v>
      </c>
      <c r="S169" s="18" t="s">
        <v>39</v>
      </c>
      <c r="T169" s="18"/>
      <c r="U169" s="25" t="n">
        <f aca="false">IF(AND($K169="Y",$F169&lt;&gt;"Y",OR($T169="",$T169=Summary!$C$11)),$C169*IF($H169&lt;&gt;"",$H169,$D169)*INDEX(Summary!$C$6:$C$8,MATCH($P169,Summary!$B$6:$B$8,0)),0)</f>
        <v>50</v>
      </c>
      <c r="V169" s="25" t="n">
        <f aca="false">IF(AND($K169="Y",$F169&lt;&gt;"Y",OR($T169="",$T169=Summary!$C$11)),$C169*IF($H169&lt;&gt;"",$H169,$E169)*INDEX(Summary!$C$6:$C$8,MATCH($P169,Summary!$B$6:$B$8,0)),0)</f>
        <v>50</v>
      </c>
      <c r="W169" s="18" t="s">
        <v>62</v>
      </c>
      <c r="X169" s="24"/>
    </row>
    <row r="170" customFormat="false" ht="30" hidden="false" customHeight="true" outlineLevel="0" collapsed="false">
      <c r="A170" s="18" t="s">
        <v>684</v>
      </c>
      <c r="B170" s="19" t="s">
        <v>685</v>
      </c>
      <c r="C170" s="20" t="n">
        <v>1</v>
      </c>
      <c r="D170" s="21" t="n">
        <v>0</v>
      </c>
      <c r="E170" s="21" t="n">
        <v>995</v>
      </c>
      <c r="F170" s="20" t="s">
        <v>101</v>
      </c>
      <c r="G170" s="20" t="s">
        <v>101</v>
      </c>
      <c r="H170" s="22"/>
      <c r="I170" s="23" t="n">
        <f aca="false">IF(AND($K170="Y",$F170&lt;&gt;"Y",OR($T170="",$T170=Summary!$C$11)),$C170*IF($H170&lt;&gt;"",$H170,($D170+$E170)/2)*INDEX(Summary!$C$6:$C$8,MATCH($P170,Summary!$B$6:$B$8,0)),0)</f>
        <v>497.5</v>
      </c>
      <c r="J170" s="20" t="s">
        <v>157</v>
      </c>
      <c r="K170" s="20" t="s">
        <v>103</v>
      </c>
      <c r="L170" s="24" t="s">
        <v>31</v>
      </c>
      <c r="M170" s="24" t="s">
        <v>679</v>
      </c>
      <c r="N170" s="19"/>
      <c r="O170" s="18" t="s">
        <v>106</v>
      </c>
      <c r="P170" s="20" t="s">
        <v>6</v>
      </c>
      <c r="Q170" s="18" t="s">
        <v>44</v>
      </c>
      <c r="R170" s="24" t="s">
        <v>686</v>
      </c>
      <c r="S170" s="18" t="s">
        <v>41</v>
      </c>
      <c r="T170" s="18"/>
      <c r="U170" s="25" t="n">
        <f aca="false">IF(AND($K170="Y",$F170&lt;&gt;"Y",OR($T170="",$T170=Summary!$C$11)),$C170*IF($H170&lt;&gt;"",$H170,$D170)*INDEX(Summary!$C$6:$C$8,MATCH($P170,Summary!$B$6:$B$8,0)),0)</f>
        <v>0</v>
      </c>
      <c r="V170" s="25" t="n">
        <f aca="false">IF(AND($K170="Y",$F170&lt;&gt;"Y",OR($T170="",$T170=Summary!$C$11)),$C170*IF($H170&lt;&gt;"",$H170,$E170)*INDEX(Summary!$C$6:$C$8,MATCH($P170,Summary!$B$6:$B$8,0)),0)</f>
        <v>995</v>
      </c>
      <c r="W170" s="18" t="s">
        <v>62</v>
      </c>
      <c r="X170" s="24"/>
    </row>
    <row r="171" customFormat="false" ht="30" hidden="false" customHeight="true" outlineLevel="0" collapsed="false">
      <c r="A171" s="18" t="s">
        <v>687</v>
      </c>
      <c r="B171" s="19" t="s">
        <v>688</v>
      </c>
      <c r="C171" s="20" t="n">
        <v>1</v>
      </c>
      <c r="D171" s="21" t="n">
        <v>35</v>
      </c>
      <c r="E171" s="21" t="n">
        <v>115</v>
      </c>
      <c r="F171" s="20" t="s">
        <v>101</v>
      </c>
      <c r="G171" s="20" t="s">
        <v>101</v>
      </c>
      <c r="H171" s="22"/>
      <c r="I171" s="23" t="n">
        <f aca="false">IF(AND($K171="Y",$F171&lt;&gt;"Y",OR($T171="",$T171=Summary!$C$11)),$C171*IF($H171&lt;&gt;"",$H171,($D171+$E171)/2)*INDEX(Summary!$C$6:$C$8,MATCH($P171,Summary!$B$6:$B$8,0)),0)</f>
        <v>75</v>
      </c>
      <c r="J171" s="20" t="s">
        <v>102</v>
      </c>
      <c r="K171" s="20" t="s">
        <v>103</v>
      </c>
      <c r="L171" s="24" t="s">
        <v>31</v>
      </c>
      <c r="M171" s="24" t="s">
        <v>679</v>
      </c>
      <c r="N171" s="19"/>
      <c r="O171" s="18" t="s">
        <v>106</v>
      </c>
      <c r="P171" s="20" t="s">
        <v>6</v>
      </c>
      <c r="Q171" s="18" t="s">
        <v>44</v>
      </c>
      <c r="R171" s="24" t="s">
        <v>689</v>
      </c>
      <c r="S171" s="18" t="s">
        <v>39</v>
      </c>
      <c r="T171" s="18"/>
      <c r="U171" s="25" t="n">
        <f aca="false">IF(AND($K171="Y",$F171&lt;&gt;"Y",OR($T171="",$T171=Summary!$C$11)),$C171*IF($H171&lt;&gt;"",$H171,$D171)*INDEX(Summary!$C$6:$C$8,MATCH($P171,Summary!$B$6:$B$8,0)),0)</f>
        <v>35</v>
      </c>
      <c r="V171" s="25" t="n">
        <f aca="false">IF(AND($K171="Y",$F171&lt;&gt;"Y",OR($T171="",$T171=Summary!$C$11)),$C171*IF($H171&lt;&gt;"",$H171,$E171)*INDEX(Summary!$C$6:$C$8,MATCH($P171,Summary!$B$6:$B$8,0)),0)</f>
        <v>115</v>
      </c>
      <c r="W171" s="18" t="s">
        <v>118</v>
      </c>
      <c r="X171" s="24"/>
    </row>
    <row r="172" customFormat="false" ht="30" hidden="false" customHeight="true" outlineLevel="0" collapsed="false">
      <c r="A172" s="18" t="s">
        <v>690</v>
      </c>
      <c r="B172" s="19" t="s">
        <v>691</v>
      </c>
      <c r="C172" s="20" t="n">
        <v>1</v>
      </c>
      <c r="D172" s="21" t="n">
        <v>0</v>
      </c>
      <c r="E172" s="21" t="n">
        <v>0</v>
      </c>
      <c r="F172" s="20" t="s">
        <v>103</v>
      </c>
      <c r="G172" s="20" t="s">
        <v>101</v>
      </c>
      <c r="H172" s="22"/>
      <c r="I172" s="23" t="n">
        <f aca="false">IF(AND($K172="Y",$F172&lt;&gt;"Y",OR($T172="",$T172=Summary!$C$11)),$C172*IF($H172&lt;&gt;"",$H172,($D172+$E172)/2)*INDEX(Summary!$C$6:$C$8,MATCH($P172,Summary!$B$6:$B$8,0)),0)</f>
        <v>0</v>
      </c>
      <c r="J172" s="20" t="s">
        <v>46</v>
      </c>
      <c r="K172" s="20" t="s">
        <v>103</v>
      </c>
      <c r="L172" s="24" t="s">
        <v>31</v>
      </c>
      <c r="M172" s="24" t="s">
        <v>692</v>
      </c>
      <c r="N172" s="19"/>
      <c r="O172" s="18" t="s">
        <v>106</v>
      </c>
      <c r="P172" s="20" t="s">
        <v>6</v>
      </c>
      <c r="Q172" s="18" t="s">
        <v>46</v>
      </c>
      <c r="R172" s="24" t="s">
        <v>7</v>
      </c>
      <c r="S172" s="18" t="s">
        <v>39</v>
      </c>
      <c r="T172" s="18"/>
      <c r="U172" s="25" t="n">
        <f aca="false">IF(AND($K172="Y",$F172&lt;&gt;"Y",OR($T172="",$T172=Summary!$C$11)),$C172*IF($H172&lt;&gt;"",$H172,$D172)*INDEX(Summary!$C$6:$C$8,MATCH($P172,Summary!$B$6:$B$8,0)),0)</f>
        <v>0</v>
      </c>
      <c r="V172" s="25" t="n">
        <f aca="false">IF(AND($K172="Y",$F172&lt;&gt;"Y",OR($T172="",$T172=Summary!$C$11)),$C172*IF($H172&lt;&gt;"",$H172,$E172)*INDEX(Summary!$C$6:$C$8,MATCH($P172,Summary!$B$6:$B$8,0)),0)</f>
        <v>0</v>
      </c>
      <c r="W172" s="18" t="s">
        <v>118</v>
      </c>
      <c r="X172" s="24"/>
    </row>
    <row r="173" customFormat="false" ht="30" hidden="false" customHeight="true" outlineLevel="0" collapsed="false">
      <c r="A173" s="18" t="s">
        <v>693</v>
      </c>
      <c r="B173" s="19" t="s">
        <v>694</v>
      </c>
      <c r="C173" s="20" t="n">
        <v>1</v>
      </c>
      <c r="D173" s="21" t="n">
        <v>45</v>
      </c>
      <c r="E173" s="21" t="n">
        <v>140</v>
      </c>
      <c r="F173" s="20" t="s">
        <v>101</v>
      </c>
      <c r="G173" s="20" t="s">
        <v>101</v>
      </c>
      <c r="H173" s="22"/>
      <c r="I173" s="23" t="n">
        <f aca="false">IF(AND($K173="Y",$F173&lt;&gt;"Y",OR($T173="",$T173=Summary!$C$11)),$C173*IF($H173&lt;&gt;"",$H173,($D173+$E173)/2)*INDEX(Summary!$C$6:$C$8,MATCH($P173,Summary!$B$6:$B$8,0)),0)</f>
        <v>92.5</v>
      </c>
      <c r="J173" s="20" t="s">
        <v>102</v>
      </c>
      <c r="K173" s="20" t="s">
        <v>103</v>
      </c>
      <c r="L173" s="24" t="s">
        <v>31</v>
      </c>
      <c r="M173" s="24" t="s">
        <v>695</v>
      </c>
      <c r="N173" s="19"/>
      <c r="O173" s="18" t="s">
        <v>106</v>
      </c>
      <c r="P173" s="20" t="s">
        <v>6</v>
      </c>
      <c r="Q173" s="18" t="s">
        <v>44</v>
      </c>
      <c r="R173" s="24" t="s">
        <v>123</v>
      </c>
      <c r="S173" s="18" t="s">
        <v>40</v>
      </c>
      <c r="T173" s="18"/>
      <c r="U173" s="25" t="n">
        <f aca="false">IF(AND($K173="Y",$F173&lt;&gt;"Y",OR($T173="",$T173=Summary!$C$11)),$C173*IF($H173&lt;&gt;"",$H173,$D173)*INDEX(Summary!$C$6:$C$8,MATCH($P173,Summary!$B$6:$B$8,0)),0)</f>
        <v>45</v>
      </c>
      <c r="V173" s="25" t="n">
        <f aca="false">IF(AND($K173="Y",$F173&lt;&gt;"Y",OR($T173="",$T173=Summary!$C$11)),$C173*IF($H173&lt;&gt;"",$H173,$E173)*INDEX(Summary!$C$6:$C$8,MATCH($P173,Summary!$B$6:$B$8,0)),0)</f>
        <v>140</v>
      </c>
      <c r="W173" s="18" t="s">
        <v>118</v>
      </c>
      <c r="X173" s="24"/>
    </row>
    <row r="174" customFormat="false" ht="30" hidden="false" customHeight="true" outlineLevel="0" collapsed="false">
      <c r="A174" s="18" t="s">
        <v>696</v>
      </c>
      <c r="B174" s="19" t="s">
        <v>697</v>
      </c>
      <c r="C174" s="20" t="n">
        <v>1</v>
      </c>
      <c r="D174" s="21" t="n">
        <v>10</v>
      </c>
      <c r="E174" s="21" t="n">
        <v>20</v>
      </c>
      <c r="F174" s="20" t="s">
        <v>101</v>
      </c>
      <c r="G174" s="20" t="s">
        <v>103</v>
      </c>
      <c r="H174" s="22"/>
      <c r="I174" s="23" t="n">
        <f aca="false">IF(AND($K174="Y",$F174&lt;&gt;"Y",OR($T174="",$T174=Summary!$C$11)),$C174*IF($H174&lt;&gt;"",$H174,($D174+$E174)/2)*INDEX(Summary!$C$6:$C$8,MATCH($P174,Summary!$B$6:$B$8,0)),0)</f>
        <v>15</v>
      </c>
      <c r="J174" s="20" t="s">
        <v>102</v>
      </c>
      <c r="K174" s="20" t="s">
        <v>103</v>
      </c>
      <c r="L174" s="24" t="s">
        <v>31</v>
      </c>
      <c r="M174" s="24" t="s">
        <v>695</v>
      </c>
      <c r="N174" s="19"/>
      <c r="O174" s="18" t="s">
        <v>106</v>
      </c>
      <c r="P174" s="20" t="s">
        <v>6</v>
      </c>
      <c r="Q174" s="18" t="s">
        <v>45</v>
      </c>
      <c r="R174" s="24" t="s">
        <v>7</v>
      </c>
      <c r="S174" s="18" t="s">
        <v>40</v>
      </c>
      <c r="T174" s="18"/>
      <c r="U174" s="25" t="n">
        <f aca="false">IF(AND($K174="Y",$F174&lt;&gt;"Y",OR($T174="",$T174=Summary!$C$11)),$C174*IF($H174&lt;&gt;"",$H174,$D174)*INDEX(Summary!$C$6:$C$8,MATCH($P174,Summary!$B$6:$B$8,0)),0)</f>
        <v>10</v>
      </c>
      <c r="V174" s="25" t="n">
        <f aca="false">IF(AND($K174="Y",$F174&lt;&gt;"Y",OR($T174="",$T174=Summary!$C$11)),$C174*IF($H174&lt;&gt;"",$H174,$E174)*INDEX(Summary!$C$6:$C$8,MATCH($P174,Summary!$B$6:$B$8,0)),0)</f>
        <v>20</v>
      </c>
      <c r="W174" s="18" t="s">
        <v>118</v>
      </c>
      <c r="X174" s="24"/>
    </row>
    <row r="175" customFormat="false" ht="30" hidden="false" customHeight="true" outlineLevel="0" collapsed="false">
      <c r="A175" s="18" t="s">
        <v>698</v>
      </c>
      <c r="B175" s="19" t="s">
        <v>699</v>
      </c>
      <c r="C175" s="20" t="n">
        <v>1</v>
      </c>
      <c r="D175" s="21" t="n">
        <v>0</v>
      </c>
      <c r="E175" s="21" t="n">
        <v>0</v>
      </c>
      <c r="F175" s="20" t="s">
        <v>103</v>
      </c>
      <c r="G175" s="20" t="s">
        <v>101</v>
      </c>
      <c r="H175" s="22"/>
      <c r="I175" s="23" t="n">
        <f aca="false">IF(AND($K175="Y",$F175&lt;&gt;"Y",OR($T175="",$T175=Summary!$C$11)),$C175*IF($H175&lt;&gt;"",$H175,($D175+$E175)/2)*INDEX(Summary!$C$6:$C$8,MATCH($P175,Summary!$B$6:$B$8,0)),0)</f>
        <v>0</v>
      </c>
      <c r="J175" s="20" t="s">
        <v>46</v>
      </c>
      <c r="K175" s="20" t="s">
        <v>103</v>
      </c>
      <c r="L175" s="24" t="s">
        <v>31</v>
      </c>
      <c r="M175" s="24" t="s">
        <v>700</v>
      </c>
      <c r="N175" s="19"/>
      <c r="O175" s="18" t="s">
        <v>106</v>
      </c>
      <c r="P175" s="20" t="s">
        <v>6</v>
      </c>
      <c r="Q175" s="18" t="s">
        <v>46</v>
      </c>
      <c r="R175" s="24" t="s">
        <v>7</v>
      </c>
      <c r="S175" s="18" t="s">
        <v>39</v>
      </c>
      <c r="T175" s="18"/>
      <c r="U175" s="25" t="n">
        <f aca="false">IF(AND($K175="Y",$F175&lt;&gt;"Y",OR($T175="",$T175=Summary!$C$11)),$C175*IF($H175&lt;&gt;"",$H175,$D175)*INDEX(Summary!$C$6:$C$8,MATCH($P175,Summary!$B$6:$B$8,0)),0)</f>
        <v>0</v>
      </c>
      <c r="V175" s="25" t="n">
        <f aca="false">IF(AND($K175="Y",$F175&lt;&gt;"Y",OR($T175="",$T175=Summary!$C$11)),$C175*IF($H175&lt;&gt;"",$H175,$E175)*INDEX(Summary!$C$6:$C$8,MATCH($P175,Summary!$B$6:$B$8,0)),0)</f>
        <v>0</v>
      </c>
      <c r="W175" s="18" t="s">
        <v>118</v>
      </c>
      <c r="X175" s="26" t="s">
        <v>701</v>
      </c>
    </row>
    <row r="176" customFormat="false" ht="30" hidden="false" customHeight="true" outlineLevel="0" collapsed="false">
      <c r="A176" s="18" t="s">
        <v>702</v>
      </c>
      <c r="B176" s="19" t="s">
        <v>703</v>
      </c>
      <c r="C176" s="20" t="n">
        <v>1</v>
      </c>
      <c r="D176" s="21" t="n">
        <v>30</v>
      </c>
      <c r="E176" s="21" t="n">
        <v>55</v>
      </c>
      <c r="F176" s="20" t="s">
        <v>101</v>
      </c>
      <c r="G176" s="20" t="s">
        <v>101</v>
      </c>
      <c r="H176" s="22"/>
      <c r="I176" s="23" t="n">
        <f aca="false">IF(AND($K176="Y",$F176&lt;&gt;"Y",OR($T176="",$T176=Summary!$C$11)),$C176*IF($H176&lt;&gt;"",$H176,($D176+$E176)/2)*INDEX(Summary!$C$6:$C$8,MATCH($P176,Summary!$B$6:$B$8,0)),0)</f>
        <v>42.5</v>
      </c>
      <c r="J176" s="20" t="s">
        <v>102</v>
      </c>
      <c r="K176" s="20" t="s">
        <v>103</v>
      </c>
      <c r="L176" s="24" t="s">
        <v>31</v>
      </c>
      <c r="M176" s="24" t="s">
        <v>700</v>
      </c>
      <c r="N176" s="19"/>
      <c r="O176" s="18" t="s">
        <v>212</v>
      </c>
      <c r="P176" s="20" t="s">
        <v>6</v>
      </c>
      <c r="Q176" s="18" t="s">
        <v>44</v>
      </c>
      <c r="R176" s="24" t="s">
        <v>704</v>
      </c>
      <c r="S176" s="18" t="s">
        <v>39</v>
      </c>
      <c r="T176" s="18"/>
      <c r="U176" s="25" t="n">
        <f aca="false">IF(AND($K176="Y",$F176&lt;&gt;"Y",OR($T176="",$T176=Summary!$C$11)),$C176*IF($H176&lt;&gt;"",$H176,$D176)*INDEX(Summary!$C$6:$C$8,MATCH($P176,Summary!$B$6:$B$8,0)),0)</f>
        <v>30</v>
      </c>
      <c r="V176" s="25" t="n">
        <f aca="false">IF(AND($K176="Y",$F176&lt;&gt;"Y",OR($T176="",$T176=Summary!$C$11)),$C176*IF($H176&lt;&gt;"",$H176,$E176)*INDEX(Summary!$C$6:$C$8,MATCH($P176,Summary!$B$6:$B$8,0)),0)</f>
        <v>55</v>
      </c>
      <c r="W176" s="18" t="s">
        <v>118</v>
      </c>
      <c r="X176" s="24"/>
    </row>
    <row r="177" customFormat="false" ht="30" hidden="false" customHeight="true" outlineLevel="0" collapsed="false">
      <c r="A177" s="18" t="s">
        <v>705</v>
      </c>
      <c r="B177" s="19" t="s">
        <v>706</v>
      </c>
      <c r="C177" s="20" t="n">
        <v>1</v>
      </c>
      <c r="D177" s="21" t="n">
        <v>0</v>
      </c>
      <c r="E177" s="21" t="n">
        <v>85</v>
      </c>
      <c r="F177" s="20" t="s">
        <v>101</v>
      </c>
      <c r="G177" s="20" t="s">
        <v>101</v>
      </c>
      <c r="H177" s="22"/>
      <c r="I177" s="23" t="n">
        <f aca="false">IF(AND($K177="Y",$F177&lt;&gt;"Y",OR($T177="",$T177=Summary!$C$11)),$C177*IF($H177&lt;&gt;"",$H177,($D177+$E177)/2)*INDEX(Summary!$C$6:$C$8,MATCH($P177,Summary!$B$6:$B$8,0)),0)</f>
        <v>42.5</v>
      </c>
      <c r="J177" s="20" t="s">
        <v>157</v>
      </c>
      <c r="K177" s="20" t="s">
        <v>103</v>
      </c>
      <c r="L177" s="24" t="s">
        <v>31</v>
      </c>
      <c r="M177" s="24" t="s">
        <v>700</v>
      </c>
      <c r="N177" s="19"/>
      <c r="O177" s="18" t="s">
        <v>106</v>
      </c>
      <c r="P177" s="20" t="s">
        <v>6</v>
      </c>
      <c r="Q177" s="18" t="s">
        <v>44</v>
      </c>
      <c r="R177" s="24" t="s">
        <v>7</v>
      </c>
      <c r="S177" s="18" t="s">
        <v>42</v>
      </c>
      <c r="T177" s="18"/>
      <c r="U177" s="25" t="n">
        <f aca="false">IF(AND($K177="Y",$F177&lt;&gt;"Y",OR($T177="",$T177=Summary!$C$11)),$C177*IF($H177&lt;&gt;"",$H177,$D177)*INDEX(Summary!$C$6:$C$8,MATCH($P177,Summary!$B$6:$B$8,0)),0)</f>
        <v>0</v>
      </c>
      <c r="V177" s="25" t="n">
        <f aca="false">IF(AND($K177="Y",$F177&lt;&gt;"Y",OR($T177="",$T177=Summary!$C$11)),$C177*IF($H177&lt;&gt;"",$H177,$E177)*INDEX(Summary!$C$6:$C$8,MATCH($P177,Summary!$B$6:$B$8,0)),0)</f>
        <v>85</v>
      </c>
      <c r="W177" s="18" t="s">
        <v>118</v>
      </c>
      <c r="X177" s="24"/>
    </row>
    <row r="178" customFormat="false" ht="30" hidden="false" customHeight="true" outlineLevel="0" collapsed="false">
      <c r="A178" s="18" t="s">
        <v>707</v>
      </c>
      <c r="B178" s="19" t="s">
        <v>708</v>
      </c>
      <c r="C178" s="20" t="n">
        <v>5</v>
      </c>
      <c r="D178" s="21" t="n">
        <v>14</v>
      </c>
      <c r="E178" s="21" t="n">
        <v>30</v>
      </c>
      <c r="F178" s="20" t="s">
        <v>101</v>
      </c>
      <c r="G178" s="20" t="s">
        <v>101</v>
      </c>
      <c r="H178" s="22"/>
      <c r="I178" s="23" t="n">
        <f aca="false">IF(AND($K178="Y",$F178&lt;&gt;"Y",OR($T178="",$T178=Summary!$C$11)),$C178*IF($H178&lt;&gt;"",$H178,($D178+$E178)/2)*INDEX(Summary!$C$6:$C$8,MATCH($P178,Summary!$B$6:$B$8,0)),0)</f>
        <v>110</v>
      </c>
      <c r="J178" s="20" t="s">
        <v>102</v>
      </c>
      <c r="K178" s="20" t="s">
        <v>103</v>
      </c>
      <c r="L178" s="24" t="s">
        <v>31</v>
      </c>
      <c r="M178" s="24" t="s">
        <v>709</v>
      </c>
      <c r="N178" s="19"/>
      <c r="O178" s="18" t="s">
        <v>710</v>
      </c>
      <c r="P178" s="20" t="s">
        <v>6</v>
      </c>
      <c r="Q178" s="18" t="s">
        <v>44</v>
      </c>
      <c r="R178" s="24" t="s">
        <v>711</v>
      </c>
      <c r="S178" s="18" t="s">
        <v>40</v>
      </c>
      <c r="T178" s="18"/>
      <c r="U178" s="25" t="n">
        <f aca="false">IF(AND($K178="Y",$F178&lt;&gt;"Y",OR($T178="",$T178=Summary!$C$11)),$C178*IF($H178&lt;&gt;"",$H178,$D178)*INDEX(Summary!$C$6:$C$8,MATCH($P178,Summary!$B$6:$B$8,0)),0)</f>
        <v>70</v>
      </c>
      <c r="V178" s="25" t="n">
        <f aca="false">IF(AND($K178="Y",$F178&lt;&gt;"Y",OR($T178="",$T178=Summary!$C$11)),$C178*IF($H178&lt;&gt;"",$H178,$E178)*INDEX(Summary!$C$6:$C$8,MATCH($P178,Summary!$B$6:$B$8,0)),0)</f>
        <v>150</v>
      </c>
      <c r="W178" s="18" t="s">
        <v>118</v>
      </c>
      <c r="X178" s="24"/>
    </row>
    <row r="179" customFormat="false" ht="30" hidden="false" customHeight="true" outlineLevel="0" collapsed="false">
      <c r="A179" s="18" t="s">
        <v>712</v>
      </c>
      <c r="B179" s="19" t="s">
        <v>713</v>
      </c>
      <c r="C179" s="20" t="n">
        <v>1</v>
      </c>
      <c r="D179" s="21" t="n">
        <v>55</v>
      </c>
      <c r="E179" s="21" t="n">
        <v>130</v>
      </c>
      <c r="F179" s="20" t="s">
        <v>101</v>
      </c>
      <c r="G179" s="20" t="s">
        <v>101</v>
      </c>
      <c r="H179" s="22"/>
      <c r="I179" s="23" t="n">
        <f aca="false">IF(AND($K179="Y",$F179&lt;&gt;"Y",OR($T179="",$T179=Summary!$C$11)),$C179*IF($H179&lt;&gt;"",$H179,($D179+$E179)/2)*INDEX(Summary!$C$6:$C$8,MATCH($P179,Summary!$B$6:$B$8,0)),0)</f>
        <v>92.5</v>
      </c>
      <c r="J179" s="20" t="s">
        <v>102</v>
      </c>
      <c r="K179" s="20" t="s">
        <v>103</v>
      </c>
      <c r="L179" s="24" t="s">
        <v>31</v>
      </c>
      <c r="M179" s="24" t="s">
        <v>709</v>
      </c>
      <c r="N179" s="19"/>
      <c r="O179" s="18" t="s">
        <v>212</v>
      </c>
      <c r="P179" s="20" t="s">
        <v>6</v>
      </c>
      <c r="Q179" s="18" t="s">
        <v>44</v>
      </c>
      <c r="R179" s="24" t="s">
        <v>714</v>
      </c>
      <c r="S179" s="18" t="s">
        <v>40</v>
      </c>
      <c r="T179" s="18"/>
      <c r="U179" s="25" t="n">
        <f aca="false">IF(AND($K179="Y",$F179&lt;&gt;"Y",OR($T179="",$T179=Summary!$C$11)),$C179*IF($H179&lt;&gt;"",$H179,$D179)*INDEX(Summary!$C$6:$C$8,MATCH($P179,Summary!$B$6:$B$8,0)),0)</f>
        <v>55</v>
      </c>
      <c r="V179" s="25" t="n">
        <f aca="false">IF(AND($K179="Y",$F179&lt;&gt;"Y",OR($T179="",$T179=Summary!$C$11)),$C179*IF($H179&lt;&gt;"",$H179,$E179)*INDEX(Summary!$C$6:$C$8,MATCH($P179,Summary!$B$6:$B$8,0)),0)</f>
        <v>130</v>
      </c>
      <c r="W179" s="18" t="s">
        <v>118</v>
      </c>
      <c r="X179" s="24"/>
    </row>
    <row r="180" customFormat="false" ht="30" hidden="false" customHeight="true" outlineLevel="0" collapsed="false">
      <c r="A180" s="18" t="s">
        <v>715</v>
      </c>
      <c r="B180" s="19" t="s">
        <v>716</v>
      </c>
      <c r="C180" s="20" t="n">
        <v>1</v>
      </c>
      <c r="D180" s="21" t="n">
        <v>55</v>
      </c>
      <c r="E180" s="21" t="n">
        <v>130</v>
      </c>
      <c r="F180" s="20" t="s">
        <v>101</v>
      </c>
      <c r="G180" s="20" t="s">
        <v>101</v>
      </c>
      <c r="H180" s="22"/>
      <c r="I180" s="23" t="n">
        <f aca="false">IF(AND($K180="Y",$F180&lt;&gt;"Y",OR($T180="",$T180=Summary!$C$11)),$C180*IF($H180&lt;&gt;"",$H180,($D180+$E180)/2)*INDEX(Summary!$C$6:$C$8,MATCH($P180,Summary!$B$6:$B$8,0)),0)</f>
        <v>92.5</v>
      </c>
      <c r="J180" s="20" t="s">
        <v>102</v>
      </c>
      <c r="K180" s="20" t="s">
        <v>103</v>
      </c>
      <c r="L180" s="24" t="s">
        <v>31</v>
      </c>
      <c r="M180" s="24" t="s">
        <v>709</v>
      </c>
      <c r="N180" s="19"/>
      <c r="O180" s="18" t="s">
        <v>160</v>
      </c>
      <c r="P180" s="20" t="s">
        <v>6</v>
      </c>
      <c r="Q180" s="18" t="s">
        <v>44</v>
      </c>
      <c r="R180" s="24" t="s">
        <v>717</v>
      </c>
      <c r="S180" s="18" t="s">
        <v>40</v>
      </c>
      <c r="T180" s="18"/>
      <c r="U180" s="25" t="n">
        <f aca="false">IF(AND($K180="Y",$F180&lt;&gt;"Y",OR($T180="",$T180=Summary!$C$11)),$C180*IF($H180&lt;&gt;"",$H180,$D180)*INDEX(Summary!$C$6:$C$8,MATCH($P180,Summary!$B$6:$B$8,0)),0)</f>
        <v>55</v>
      </c>
      <c r="V180" s="25" t="n">
        <f aca="false">IF(AND($K180="Y",$F180&lt;&gt;"Y",OR($T180="",$T180=Summary!$C$11)),$C180*IF($H180&lt;&gt;"",$H180,$E180)*INDEX(Summary!$C$6:$C$8,MATCH($P180,Summary!$B$6:$B$8,0)),0)</f>
        <v>130</v>
      </c>
      <c r="W180" s="18" t="s">
        <v>118</v>
      </c>
      <c r="X180" s="24"/>
    </row>
    <row r="181" customFormat="false" ht="30" hidden="false" customHeight="true" outlineLevel="0" collapsed="false">
      <c r="A181" s="18" t="s">
        <v>718</v>
      </c>
      <c r="B181" s="19" t="s">
        <v>719</v>
      </c>
      <c r="C181" s="20" t="n">
        <v>1</v>
      </c>
      <c r="D181" s="21" t="n">
        <v>55</v>
      </c>
      <c r="E181" s="21" t="n">
        <v>130</v>
      </c>
      <c r="F181" s="20" t="s">
        <v>101</v>
      </c>
      <c r="G181" s="20" t="s">
        <v>101</v>
      </c>
      <c r="H181" s="22"/>
      <c r="I181" s="23" t="n">
        <f aca="false">IF(AND($K181="Y",$F181&lt;&gt;"Y",OR($T181="",$T181=Summary!$C$11)),$C181*IF($H181&lt;&gt;"",$H181,($D181+$E181)/2)*INDEX(Summary!$C$6:$C$8,MATCH($P181,Summary!$B$6:$B$8,0)),0)</f>
        <v>92.5</v>
      </c>
      <c r="J181" s="20" t="s">
        <v>102</v>
      </c>
      <c r="K181" s="20" t="s">
        <v>103</v>
      </c>
      <c r="L181" s="24" t="s">
        <v>31</v>
      </c>
      <c r="M181" s="24" t="s">
        <v>709</v>
      </c>
      <c r="N181" s="19"/>
      <c r="O181" s="18" t="s">
        <v>160</v>
      </c>
      <c r="P181" s="20" t="s">
        <v>6</v>
      </c>
      <c r="Q181" s="18" t="s">
        <v>44</v>
      </c>
      <c r="R181" s="24" t="s">
        <v>720</v>
      </c>
      <c r="S181" s="18" t="s">
        <v>40</v>
      </c>
      <c r="T181" s="18"/>
      <c r="U181" s="25" t="n">
        <f aca="false">IF(AND($K181="Y",$F181&lt;&gt;"Y",OR($T181="",$T181=Summary!$C$11)),$C181*IF($H181&lt;&gt;"",$H181,$D181)*INDEX(Summary!$C$6:$C$8,MATCH($P181,Summary!$B$6:$B$8,0)),0)</f>
        <v>55</v>
      </c>
      <c r="V181" s="25" t="n">
        <f aca="false">IF(AND($K181="Y",$F181&lt;&gt;"Y",OR($T181="",$T181=Summary!$C$11)),$C181*IF($H181&lt;&gt;"",$H181,$E181)*INDEX(Summary!$C$6:$C$8,MATCH($P181,Summary!$B$6:$B$8,0)),0)</f>
        <v>130</v>
      </c>
      <c r="W181" s="18" t="s">
        <v>118</v>
      </c>
      <c r="X181" s="24"/>
    </row>
    <row r="182" customFormat="false" ht="30" hidden="false" customHeight="true" outlineLevel="0" collapsed="false">
      <c r="A182" s="18" t="s">
        <v>721</v>
      </c>
      <c r="B182" s="19" t="s">
        <v>722</v>
      </c>
      <c r="C182" s="20" t="n">
        <v>1</v>
      </c>
      <c r="D182" s="21" t="n">
        <v>20</v>
      </c>
      <c r="E182" s="21" t="n">
        <v>45</v>
      </c>
      <c r="F182" s="20" t="s">
        <v>101</v>
      </c>
      <c r="G182" s="20" t="s">
        <v>101</v>
      </c>
      <c r="H182" s="22"/>
      <c r="I182" s="23" t="n">
        <f aca="false">IF(AND($K182="Y",$F182&lt;&gt;"Y",OR($T182="",$T182=Summary!$C$11)),$C182*IF($H182&lt;&gt;"",$H182,($D182+$E182)/2)*INDEX(Summary!$C$6:$C$8,MATCH($P182,Summary!$B$6:$B$8,0)),0)</f>
        <v>32.5</v>
      </c>
      <c r="J182" s="20" t="s">
        <v>102</v>
      </c>
      <c r="K182" s="20" t="s">
        <v>103</v>
      </c>
      <c r="L182" s="24" t="s">
        <v>31</v>
      </c>
      <c r="M182" s="24" t="s">
        <v>709</v>
      </c>
      <c r="N182" s="19"/>
      <c r="O182" s="18" t="s">
        <v>212</v>
      </c>
      <c r="P182" s="20" t="s">
        <v>6</v>
      </c>
      <c r="Q182" s="18" t="s">
        <v>44</v>
      </c>
      <c r="R182" s="24" t="s">
        <v>150</v>
      </c>
      <c r="S182" s="18" t="s">
        <v>40</v>
      </c>
      <c r="T182" s="18"/>
      <c r="U182" s="25" t="n">
        <f aca="false">IF(AND($K182="Y",$F182&lt;&gt;"Y",OR($T182="",$T182=Summary!$C$11)),$C182*IF($H182&lt;&gt;"",$H182,$D182)*INDEX(Summary!$C$6:$C$8,MATCH($P182,Summary!$B$6:$B$8,0)),0)</f>
        <v>20</v>
      </c>
      <c r="V182" s="25" t="n">
        <f aca="false">IF(AND($K182="Y",$F182&lt;&gt;"Y",OR($T182="",$T182=Summary!$C$11)),$C182*IF($H182&lt;&gt;"",$H182,$E182)*INDEX(Summary!$C$6:$C$8,MATCH($P182,Summary!$B$6:$B$8,0)),0)</f>
        <v>45</v>
      </c>
      <c r="W182" s="18" t="s">
        <v>118</v>
      </c>
      <c r="X182" s="24"/>
    </row>
    <row r="183" customFormat="false" ht="30" hidden="false" customHeight="true" outlineLevel="0" collapsed="false">
      <c r="A183" s="18" t="s">
        <v>723</v>
      </c>
      <c r="B183" s="19" t="s">
        <v>724</v>
      </c>
      <c r="C183" s="20" t="n">
        <v>1</v>
      </c>
      <c r="D183" s="21" t="n">
        <v>20</v>
      </c>
      <c r="E183" s="21" t="n">
        <v>45</v>
      </c>
      <c r="F183" s="20" t="s">
        <v>101</v>
      </c>
      <c r="G183" s="20" t="s">
        <v>101</v>
      </c>
      <c r="H183" s="22"/>
      <c r="I183" s="23" t="n">
        <f aca="false">IF(AND($K183="Y",$F183&lt;&gt;"Y",OR($T183="",$T183=Summary!$C$11)),$C183*IF($H183&lt;&gt;"",$H183,($D183+$E183)/2)*INDEX(Summary!$C$6:$C$8,MATCH($P183,Summary!$B$6:$B$8,0)),0)</f>
        <v>32.5</v>
      </c>
      <c r="J183" s="20" t="s">
        <v>102</v>
      </c>
      <c r="K183" s="20" t="s">
        <v>103</v>
      </c>
      <c r="L183" s="24" t="s">
        <v>31</v>
      </c>
      <c r="M183" s="24" t="s">
        <v>709</v>
      </c>
      <c r="N183" s="19"/>
      <c r="O183" s="18" t="s">
        <v>212</v>
      </c>
      <c r="P183" s="20" t="s">
        <v>6</v>
      </c>
      <c r="Q183" s="18" t="s">
        <v>44</v>
      </c>
      <c r="R183" s="24" t="s">
        <v>150</v>
      </c>
      <c r="S183" s="18" t="s">
        <v>40</v>
      </c>
      <c r="T183" s="18"/>
      <c r="U183" s="25" t="n">
        <f aca="false">IF(AND($K183="Y",$F183&lt;&gt;"Y",OR($T183="",$T183=Summary!$C$11)),$C183*IF($H183&lt;&gt;"",$H183,$D183)*INDEX(Summary!$C$6:$C$8,MATCH($P183,Summary!$B$6:$B$8,0)),0)</f>
        <v>20</v>
      </c>
      <c r="V183" s="25" t="n">
        <f aca="false">IF(AND($K183="Y",$F183&lt;&gt;"Y",OR($T183="",$T183=Summary!$C$11)),$C183*IF($H183&lt;&gt;"",$H183,$E183)*INDEX(Summary!$C$6:$C$8,MATCH($P183,Summary!$B$6:$B$8,0)),0)</f>
        <v>45</v>
      </c>
      <c r="W183" s="18" t="s">
        <v>118</v>
      </c>
      <c r="X183" s="24"/>
    </row>
    <row r="184" customFormat="false" ht="30" hidden="false" customHeight="true" outlineLevel="0" collapsed="false">
      <c r="A184" s="18" t="s">
        <v>725</v>
      </c>
      <c r="B184" s="19" t="s">
        <v>726</v>
      </c>
      <c r="C184" s="20" t="n">
        <v>1</v>
      </c>
      <c r="D184" s="21" t="n">
        <v>30</v>
      </c>
      <c r="E184" s="21" t="n">
        <v>55</v>
      </c>
      <c r="F184" s="20" t="s">
        <v>101</v>
      </c>
      <c r="G184" s="20" t="s">
        <v>101</v>
      </c>
      <c r="H184" s="22"/>
      <c r="I184" s="23" t="n">
        <f aca="false">IF(AND($K184="Y",$F184&lt;&gt;"Y",OR($T184="",$T184=Summary!$C$11)),$C184*IF($H184&lt;&gt;"",$H184,($D184+$E184)/2)*INDEX(Summary!$C$6:$C$8,MATCH($P184,Summary!$B$6:$B$8,0)),0)</f>
        <v>42.5</v>
      </c>
      <c r="J184" s="20" t="s">
        <v>102</v>
      </c>
      <c r="K184" s="20" t="s">
        <v>103</v>
      </c>
      <c r="L184" s="24" t="s">
        <v>31</v>
      </c>
      <c r="M184" s="24" t="s">
        <v>727</v>
      </c>
      <c r="N184" s="19"/>
      <c r="O184" s="18" t="s">
        <v>212</v>
      </c>
      <c r="P184" s="20" t="s">
        <v>6</v>
      </c>
      <c r="Q184" s="18" t="s">
        <v>44</v>
      </c>
      <c r="R184" s="24" t="s">
        <v>150</v>
      </c>
      <c r="S184" s="18" t="s">
        <v>40</v>
      </c>
      <c r="T184" s="18"/>
      <c r="U184" s="25" t="n">
        <f aca="false">IF(AND($K184="Y",$F184&lt;&gt;"Y",OR($T184="",$T184=Summary!$C$11)),$C184*IF($H184&lt;&gt;"",$H184,$D184)*INDEX(Summary!$C$6:$C$8,MATCH($P184,Summary!$B$6:$B$8,0)),0)</f>
        <v>30</v>
      </c>
      <c r="V184" s="25" t="n">
        <f aca="false">IF(AND($K184="Y",$F184&lt;&gt;"Y",OR($T184="",$T184=Summary!$C$11)),$C184*IF($H184&lt;&gt;"",$H184,$E184)*INDEX(Summary!$C$6:$C$8,MATCH($P184,Summary!$B$6:$B$8,0)),0)</f>
        <v>55</v>
      </c>
      <c r="W184" s="18" t="s">
        <v>118</v>
      </c>
      <c r="X184" s="24"/>
    </row>
    <row r="185" customFormat="false" ht="30" hidden="false" customHeight="true" outlineLevel="0" collapsed="false">
      <c r="A185" s="18" t="s">
        <v>728</v>
      </c>
      <c r="B185" s="19" t="s">
        <v>729</v>
      </c>
      <c r="C185" s="20" t="n">
        <v>1</v>
      </c>
      <c r="D185" s="21" t="n">
        <v>45</v>
      </c>
      <c r="E185" s="21" t="n">
        <v>50</v>
      </c>
      <c r="F185" s="20" t="s">
        <v>101</v>
      </c>
      <c r="G185" s="20" t="s">
        <v>101</v>
      </c>
      <c r="H185" s="22"/>
      <c r="I185" s="23" t="n">
        <f aca="false">IF(AND($K185="Y",$F185&lt;&gt;"Y",OR($T185="",$T185=Summary!$C$11)),$C185*IF($H185&lt;&gt;"",$H185,($D185+$E185)/2)*INDEX(Summary!$C$6:$C$8,MATCH($P185,Summary!$B$6:$B$8,0)),0)</f>
        <v>47.5</v>
      </c>
      <c r="J185" s="20" t="s">
        <v>102</v>
      </c>
      <c r="K185" s="20" t="s">
        <v>103</v>
      </c>
      <c r="L185" s="24" t="s">
        <v>31</v>
      </c>
      <c r="M185" s="24" t="s">
        <v>730</v>
      </c>
      <c r="N185" s="19"/>
      <c r="O185" s="18" t="s">
        <v>106</v>
      </c>
      <c r="P185" s="20" t="s">
        <v>6</v>
      </c>
      <c r="Q185" s="18" t="s">
        <v>44</v>
      </c>
      <c r="R185" s="24" t="s">
        <v>731</v>
      </c>
      <c r="S185" s="18" t="s">
        <v>40</v>
      </c>
      <c r="T185" s="18"/>
      <c r="U185" s="25" t="n">
        <f aca="false">IF(AND($K185="Y",$F185&lt;&gt;"Y",OR($T185="",$T185=Summary!$C$11)),$C185*IF($H185&lt;&gt;"",$H185,$D185)*INDEX(Summary!$C$6:$C$8,MATCH($P185,Summary!$B$6:$B$8,0)),0)</f>
        <v>45</v>
      </c>
      <c r="V185" s="25" t="n">
        <f aca="false">IF(AND($K185="Y",$F185&lt;&gt;"Y",OR($T185="",$T185=Summary!$C$11)),$C185*IF($H185&lt;&gt;"",$H185,$E185)*INDEX(Summary!$C$6:$C$8,MATCH($P185,Summary!$B$6:$B$8,0)),0)</f>
        <v>50</v>
      </c>
      <c r="W185" s="18" t="s">
        <v>118</v>
      </c>
      <c r="X185" s="26" t="s">
        <v>732</v>
      </c>
    </row>
    <row r="186" customFormat="false" ht="30" hidden="false" customHeight="true" outlineLevel="0" collapsed="false">
      <c r="A186" s="18" t="s">
        <v>733</v>
      </c>
      <c r="B186" s="19" t="s">
        <v>734</v>
      </c>
      <c r="C186" s="20" t="n">
        <v>3</v>
      </c>
      <c r="D186" s="21" t="n">
        <v>3</v>
      </c>
      <c r="E186" s="21" t="n">
        <v>6</v>
      </c>
      <c r="F186" s="20" t="s">
        <v>101</v>
      </c>
      <c r="G186" s="20" t="s">
        <v>101</v>
      </c>
      <c r="H186" s="22"/>
      <c r="I186" s="23" t="n">
        <f aca="false">IF(AND($K186="Y",$F186&lt;&gt;"Y",OR($T186="",$T186=Summary!$C$11)),$C186*IF($H186&lt;&gt;"",$H186,($D186+$E186)/2)*INDEX(Summary!$C$6:$C$8,MATCH($P186,Summary!$B$6:$B$8,0)),0)</f>
        <v>13.5</v>
      </c>
      <c r="J186" s="20" t="s">
        <v>102</v>
      </c>
      <c r="K186" s="20" t="s">
        <v>103</v>
      </c>
      <c r="L186" s="24" t="s">
        <v>31</v>
      </c>
      <c r="M186" s="24" t="s">
        <v>730</v>
      </c>
      <c r="N186" s="19"/>
      <c r="O186" s="18" t="s">
        <v>106</v>
      </c>
      <c r="P186" s="20" t="s">
        <v>6</v>
      </c>
      <c r="Q186" s="18" t="s">
        <v>44</v>
      </c>
      <c r="R186" s="24" t="s">
        <v>735</v>
      </c>
      <c r="S186" s="18" t="s">
        <v>40</v>
      </c>
      <c r="T186" s="18"/>
      <c r="U186" s="25" t="n">
        <f aca="false">IF(AND($K186="Y",$F186&lt;&gt;"Y",OR($T186="",$T186=Summary!$C$11)),$C186*IF($H186&lt;&gt;"",$H186,$D186)*INDEX(Summary!$C$6:$C$8,MATCH($P186,Summary!$B$6:$B$8,0)),0)</f>
        <v>9</v>
      </c>
      <c r="V186" s="25" t="n">
        <f aca="false">IF(AND($K186="Y",$F186&lt;&gt;"Y",OR($T186="",$T186=Summary!$C$11)),$C186*IF($H186&lt;&gt;"",$H186,$E186)*INDEX(Summary!$C$6:$C$8,MATCH($P186,Summary!$B$6:$B$8,0)),0)</f>
        <v>18</v>
      </c>
      <c r="W186" s="18" t="s">
        <v>118</v>
      </c>
      <c r="X186" s="24"/>
    </row>
    <row r="187" customFormat="false" ht="30" hidden="false" customHeight="true" outlineLevel="0" collapsed="false">
      <c r="A187" s="18" t="s">
        <v>736</v>
      </c>
      <c r="B187" s="19" t="s">
        <v>737</v>
      </c>
      <c r="C187" s="20" t="n">
        <v>1</v>
      </c>
      <c r="D187" s="21" t="n">
        <v>30</v>
      </c>
      <c r="E187" s="21" t="n">
        <v>55</v>
      </c>
      <c r="F187" s="20" t="s">
        <v>101</v>
      </c>
      <c r="G187" s="20" t="s">
        <v>101</v>
      </c>
      <c r="H187" s="22"/>
      <c r="I187" s="23" t="n">
        <f aca="false">IF(AND($K187="Y",$F187&lt;&gt;"Y",OR($T187="",$T187=Summary!$C$11)),$C187*IF($H187&lt;&gt;"",$H187,($D187+$E187)/2)*INDEX(Summary!$C$6:$C$8,MATCH($P187,Summary!$B$6:$B$8,0)),0)</f>
        <v>42.5</v>
      </c>
      <c r="J187" s="20" t="s">
        <v>102</v>
      </c>
      <c r="K187" s="20" t="s">
        <v>103</v>
      </c>
      <c r="L187" s="24" t="s">
        <v>31</v>
      </c>
      <c r="M187" s="24" t="s">
        <v>730</v>
      </c>
      <c r="N187" s="19"/>
      <c r="O187" s="18" t="s">
        <v>212</v>
      </c>
      <c r="P187" s="20" t="s">
        <v>6</v>
      </c>
      <c r="Q187" s="18" t="s">
        <v>44</v>
      </c>
      <c r="R187" s="24" t="s">
        <v>738</v>
      </c>
      <c r="S187" s="18" t="s">
        <v>40</v>
      </c>
      <c r="T187" s="18"/>
      <c r="U187" s="25" t="n">
        <f aca="false">IF(AND($K187="Y",$F187&lt;&gt;"Y",OR($T187="",$T187=Summary!$C$11)),$C187*IF($H187&lt;&gt;"",$H187,$D187)*INDEX(Summary!$C$6:$C$8,MATCH($P187,Summary!$B$6:$B$8,0)),0)</f>
        <v>30</v>
      </c>
      <c r="V187" s="25" t="n">
        <f aca="false">IF(AND($K187="Y",$F187&lt;&gt;"Y",OR($T187="",$T187=Summary!$C$11)),$C187*IF($H187&lt;&gt;"",$H187,$E187)*INDEX(Summary!$C$6:$C$8,MATCH($P187,Summary!$B$6:$B$8,0)),0)</f>
        <v>55</v>
      </c>
      <c r="W187" s="18" t="s">
        <v>118</v>
      </c>
      <c r="X187" s="24"/>
    </row>
    <row r="188" customFormat="false" ht="30" hidden="false" customHeight="true" outlineLevel="0" collapsed="false">
      <c r="A188" s="18" t="s">
        <v>739</v>
      </c>
      <c r="B188" s="19" t="s">
        <v>740</v>
      </c>
      <c r="C188" s="20" t="n">
        <v>1</v>
      </c>
      <c r="D188" s="21" t="n">
        <v>14</v>
      </c>
      <c r="E188" s="21" t="n">
        <v>30</v>
      </c>
      <c r="F188" s="20" t="s">
        <v>101</v>
      </c>
      <c r="G188" s="20" t="s">
        <v>103</v>
      </c>
      <c r="H188" s="22"/>
      <c r="I188" s="23" t="n">
        <f aca="false">IF(AND($K188="Y",$F188&lt;&gt;"Y",OR($T188="",$T188=Summary!$C$11)),$C188*IF($H188&lt;&gt;"",$H188,($D188+$E188)/2)*INDEX(Summary!$C$6:$C$8,MATCH($P188,Summary!$B$6:$B$8,0)),0)</f>
        <v>22</v>
      </c>
      <c r="J188" s="20" t="s">
        <v>102</v>
      </c>
      <c r="K188" s="20" t="s">
        <v>103</v>
      </c>
      <c r="L188" s="24" t="s">
        <v>31</v>
      </c>
      <c r="M188" s="24" t="s">
        <v>730</v>
      </c>
      <c r="N188" s="19"/>
      <c r="O188" s="18" t="s">
        <v>106</v>
      </c>
      <c r="P188" s="20" t="s">
        <v>6</v>
      </c>
      <c r="Q188" s="18" t="s">
        <v>45</v>
      </c>
      <c r="R188" s="24" t="s">
        <v>7</v>
      </c>
      <c r="S188" s="18" t="s">
        <v>40</v>
      </c>
      <c r="T188" s="18"/>
      <c r="U188" s="25" t="n">
        <f aca="false">IF(AND($K188="Y",$F188&lt;&gt;"Y",OR($T188="",$T188=Summary!$C$11)),$C188*IF($H188&lt;&gt;"",$H188,$D188)*INDEX(Summary!$C$6:$C$8,MATCH($P188,Summary!$B$6:$B$8,0)),0)</f>
        <v>14</v>
      </c>
      <c r="V188" s="25" t="n">
        <f aca="false">IF(AND($K188="Y",$F188&lt;&gt;"Y",OR($T188="",$T188=Summary!$C$11)),$C188*IF($H188&lt;&gt;"",$H188,$E188)*INDEX(Summary!$C$6:$C$8,MATCH($P188,Summary!$B$6:$B$8,0)),0)</f>
        <v>30</v>
      </c>
      <c r="W188" s="18" t="s">
        <v>118</v>
      </c>
      <c r="X188" s="24"/>
    </row>
    <row r="189" customFormat="false" ht="30" hidden="false" customHeight="true" outlineLevel="0" collapsed="false">
      <c r="A189" s="18" t="s">
        <v>741</v>
      </c>
      <c r="B189" s="19" t="s">
        <v>742</v>
      </c>
      <c r="C189" s="20" t="n">
        <v>1</v>
      </c>
      <c r="D189" s="21" t="n">
        <v>20</v>
      </c>
      <c r="E189" s="21" t="n">
        <v>85</v>
      </c>
      <c r="F189" s="20" t="s">
        <v>101</v>
      </c>
      <c r="G189" s="20" t="s">
        <v>101</v>
      </c>
      <c r="H189" s="22"/>
      <c r="I189" s="23" t="n">
        <f aca="false">IF(AND($K189="Y",$F189&lt;&gt;"Y",OR($T189="",$T189=Summary!$C$11)),$C189*IF($H189&lt;&gt;"",$H189,($D189+$E189)/2)*INDEX(Summary!$C$6:$C$8,MATCH($P189,Summary!$B$6:$B$8,0)),0)</f>
        <v>52.5</v>
      </c>
      <c r="J189" s="20" t="s">
        <v>102</v>
      </c>
      <c r="K189" s="20" t="s">
        <v>103</v>
      </c>
      <c r="L189" s="24" t="s">
        <v>31</v>
      </c>
      <c r="M189" s="24" t="s">
        <v>730</v>
      </c>
      <c r="N189" s="19" t="s">
        <v>743</v>
      </c>
      <c r="O189" s="18" t="s">
        <v>106</v>
      </c>
      <c r="P189" s="20" t="s">
        <v>6</v>
      </c>
      <c r="Q189" s="18" t="s">
        <v>44</v>
      </c>
      <c r="R189" s="24" t="s">
        <v>744</v>
      </c>
      <c r="S189" s="18" t="s">
        <v>38</v>
      </c>
      <c r="T189" s="18"/>
      <c r="U189" s="25" t="n">
        <f aca="false">IF(AND($K189="Y",$F189&lt;&gt;"Y",OR($T189="",$T189=Summary!$C$11)),$C189*IF($H189&lt;&gt;"",$H189,$D189)*INDEX(Summary!$C$6:$C$8,MATCH($P189,Summary!$B$6:$B$8,0)),0)</f>
        <v>20</v>
      </c>
      <c r="V189" s="25" t="n">
        <f aca="false">IF(AND($K189="Y",$F189&lt;&gt;"Y",OR($T189="",$T189=Summary!$C$11)),$C189*IF($H189&lt;&gt;"",$H189,$E189)*INDEX(Summary!$C$6:$C$8,MATCH($P189,Summary!$B$6:$B$8,0)),0)</f>
        <v>85</v>
      </c>
      <c r="W189" s="18" t="s">
        <v>118</v>
      </c>
      <c r="X189" s="24"/>
    </row>
    <row r="190" customFormat="false" ht="30" hidden="false" customHeight="true" outlineLevel="0" collapsed="false">
      <c r="A190" s="18" t="s">
        <v>745</v>
      </c>
      <c r="B190" s="19" t="s">
        <v>746</v>
      </c>
      <c r="C190" s="20" t="n">
        <v>1</v>
      </c>
      <c r="D190" s="21" t="n">
        <v>130</v>
      </c>
      <c r="E190" s="21" t="n">
        <v>310</v>
      </c>
      <c r="F190" s="20" t="s">
        <v>101</v>
      </c>
      <c r="G190" s="20" t="s">
        <v>101</v>
      </c>
      <c r="H190" s="22"/>
      <c r="I190" s="23" t="n">
        <f aca="false">IF(AND($K190="Y",$F190&lt;&gt;"Y",OR($T190="",$T190=Summary!$C$11)),$C190*IF($H190&lt;&gt;"",$H190,($D190+$E190)/2)*INDEX(Summary!$C$6:$C$8,MATCH($P190,Summary!$B$6:$B$8,0)),0)</f>
        <v>220</v>
      </c>
      <c r="J190" s="20" t="s">
        <v>102</v>
      </c>
      <c r="K190" s="20" t="s">
        <v>103</v>
      </c>
      <c r="L190" s="24" t="s">
        <v>31</v>
      </c>
      <c r="M190" s="24" t="s">
        <v>747</v>
      </c>
      <c r="N190" s="19"/>
      <c r="O190" s="18" t="s">
        <v>106</v>
      </c>
      <c r="P190" s="20" t="s">
        <v>6</v>
      </c>
      <c r="Q190" s="18" t="s">
        <v>44</v>
      </c>
      <c r="R190" s="24" t="s">
        <v>748</v>
      </c>
      <c r="S190" s="18" t="s">
        <v>39</v>
      </c>
      <c r="T190" s="18"/>
      <c r="U190" s="25" t="n">
        <f aca="false">IF(AND($K190="Y",$F190&lt;&gt;"Y",OR($T190="",$T190=Summary!$C$11)),$C190*IF($H190&lt;&gt;"",$H190,$D190)*INDEX(Summary!$C$6:$C$8,MATCH($P190,Summary!$B$6:$B$8,0)),0)</f>
        <v>130</v>
      </c>
      <c r="V190" s="25" t="n">
        <f aca="false">IF(AND($K190="Y",$F190&lt;&gt;"Y",OR($T190="",$T190=Summary!$C$11)),$C190*IF($H190&lt;&gt;"",$H190,$E190)*INDEX(Summary!$C$6:$C$8,MATCH($P190,Summary!$B$6:$B$8,0)),0)</f>
        <v>310</v>
      </c>
      <c r="W190" s="18" t="s">
        <v>118</v>
      </c>
      <c r="X190" s="24"/>
    </row>
    <row r="191" customFormat="false" ht="30" hidden="false" customHeight="true" outlineLevel="0" collapsed="false">
      <c r="A191" s="18" t="s">
        <v>749</v>
      </c>
      <c r="B191" s="19" t="s">
        <v>750</v>
      </c>
      <c r="C191" s="20" t="n">
        <v>1</v>
      </c>
      <c r="D191" s="21" t="n">
        <v>45</v>
      </c>
      <c r="E191" s="21" t="n">
        <v>100</v>
      </c>
      <c r="F191" s="20" t="s">
        <v>101</v>
      </c>
      <c r="G191" s="20" t="s">
        <v>101</v>
      </c>
      <c r="H191" s="22"/>
      <c r="I191" s="23" t="n">
        <f aca="false">IF(AND($K191="Y",$F191&lt;&gt;"Y",OR($T191="",$T191=Summary!$C$11)),$C191*IF($H191&lt;&gt;"",$H191,($D191+$E191)/2)*INDEX(Summary!$C$6:$C$8,MATCH($P191,Summary!$B$6:$B$8,0)),0)</f>
        <v>72.5</v>
      </c>
      <c r="J191" s="20" t="s">
        <v>102</v>
      </c>
      <c r="K191" s="20" t="s">
        <v>103</v>
      </c>
      <c r="L191" s="24" t="s">
        <v>31</v>
      </c>
      <c r="M191" s="24" t="s">
        <v>747</v>
      </c>
      <c r="N191" s="19"/>
      <c r="O191" s="18" t="s">
        <v>106</v>
      </c>
      <c r="P191" s="20" t="s">
        <v>6</v>
      </c>
      <c r="Q191" s="18" t="s">
        <v>44</v>
      </c>
      <c r="R191" s="24" t="s">
        <v>751</v>
      </c>
      <c r="S191" s="18" t="s">
        <v>39</v>
      </c>
      <c r="T191" s="18"/>
      <c r="U191" s="25" t="n">
        <f aca="false">IF(AND($K191="Y",$F191&lt;&gt;"Y",OR($T191="",$T191=Summary!$C$11)),$C191*IF($H191&lt;&gt;"",$H191,$D191)*INDEX(Summary!$C$6:$C$8,MATCH($P191,Summary!$B$6:$B$8,0)),0)</f>
        <v>45</v>
      </c>
      <c r="V191" s="25" t="n">
        <f aca="false">IF(AND($K191="Y",$F191&lt;&gt;"Y",OR($T191="",$T191=Summary!$C$11)),$C191*IF($H191&lt;&gt;"",$H191,$E191)*INDEX(Summary!$C$6:$C$8,MATCH($P191,Summary!$B$6:$B$8,0)),0)</f>
        <v>100</v>
      </c>
      <c r="W191" s="18" t="s">
        <v>118</v>
      </c>
      <c r="X191" s="24"/>
    </row>
    <row r="192" customFormat="false" ht="30" hidden="false" customHeight="true" outlineLevel="0" collapsed="false">
      <c r="A192" s="18" t="s">
        <v>752</v>
      </c>
      <c r="B192" s="19" t="s">
        <v>753</v>
      </c>
      <c r="C192" s="20" t="n">
        <v>1</v>
      </c>
      <c r="D192" s="21" t="n">
        <v>30</v>
      </c>
      <c r="E192" s="21" t="n">
        <v>55</v>
      </c>
      <c r="F192" s="20" t="s">
        <v>101</v>
      </c>
      <c r="G192" s="20" t="s">
        <v>101</v>
      </c>
      <c r="H192" s="22"/>
      <c r="I192" s="23" t="n">
        <f aca="false">IF(AND($K192="Y",$F192&lt;&gt;"Y",OR($T192="",$T192=Summary!$C$11)),$C192*IF($H192&lt;&gt;"",$H192,($D192+$E192)/2)*INDEX(Summary!$C$6:$C$8,MATCH($P192,Summary!$B$6:$B$8,0)),0)</f>
        <v>42.5</v>
      </c>
      <c r="J192" s="20" t="s">
        <v>102</v>
      </c>
      <c r="K192" s="20" t="s">
        <v>103</v>
      </c>
      <c r="L192" s="24" t="s">
        <v>31</v>
      </c>
      <c r="M192" s="24" t="s">
        <v>747</v>
      </c>
      <c r="N192" s="19"/>
      <c r="O192" s="18" t="s">
        <v>106</v>
      </c>
      <c r="P192" s="20" t="s">
        <v>6</v>
      </c>
      <c r="Q192" s="18" t="s">
        <v>44</v>
      </c>
      <c r="R192" s="24" t="s">
        <v>751</v>
      </c>
      <c r="S192" s="18" t="s">
        <v>39</v>
      </c>
      <c r="T192" s="18"/>
      <c r="U192" s="25" t="n">
        <f aca="false">IF(AND($K192="Y",$F192&lt;&gt;"Y",OR($T192="",$T192=Summary!$C$11)),$C192*IF($H192&lt;&gt;"",$H192,$D192)*INDEX(Summary!$C$6:$C$8,MATCH($P192,Summary!$B$6:$B$8,0)),0)</f>
        <v>30</v>
      </c>
      <c r="V192" s="25" t="n">
        <f aca="false">IF(AND($K192="Y",$F192&lt;&gt;"Y",OR($T192="",$T192=Summary!$C$11)),$C192*IF($H192&lt;&gt;"",$H192,$E192)*INDEX(Summary!$C$6:$C$8,MATCH($P192,Summary!$B$6:$B$8,0)),0)</f>
        <v>55</v>
      </c>
      <c r="W192" s="18" t="s">
        <v>118</v>
      </c>
      <c r="X192" s="24"/>
    </row>
    <row r="193" customFormat="false" ht="30" hidden="false" customHeight="true" outlineLevel="0" collapsed="false">
      <c r="A193" s="18" t="s">
        <v>754</v>
      </c>
      <c r="B193" s="19" t="s">
        <v>755</v>
      </c>
      <c r="C193" s="20" t="n">
        <v>1</v>
      </c>
      <c r="D193" s="21" t="n">
        <v>45</v>
      </c>
      <c r="E193" s="21" t="n">
        <v>115</v>
      </c>
      <c r="F193" s="20" t="s">
        <v>101</v>
      </c>
      <c r="G193" s="20" t="s">
        <v>101</v>
      </c>
      <c r="H193" s="22"/>
      <c r="I193" s="23" t="n">
        <f aca="false">IF(AND($K193="Y",$F193&lt;&gt;"Y",OR($T193="",$T193=Summary!$C$11)),$C193*IF($H193&lt;&gt;"",$H193,($D193+$E193)/2)*INDEX(Summary!$C$6:$C$8,MATCH($P193,Summary!$B$6:$B$8,0)),0)</f>
        <v>80</v>
      </c>
      <c r="J193" s="20" t="s">
        <v>157</v>
      </c>
      <c r="K193" s="20" t="s">
        <v>103</v>
      </c>
      <c r="L193" s="24" t="s">
        <v>31</v>
      </c>
      <c r="M193" s="24" t="s">
        <v>747</v>
      </c>
      <c r="N193" s="19"/>
      <c r="O193" s="18" t="s">
        <v>106</v>
      </c>
      <c r="P193" s="20" t="s">
        <v>6</v>
      </c>
      <c r="Q193" s="18" t="s">
        <v>44</v>
      </c>
      <c r="R193" s="24" t="s">
        <v>185</v>
      </c>
      <c r="S193" s="18" t="s">
        <v>41</v>
      </c>
      <c r="T193" s="18"/>
      <c r="U193" s="25" t="n">
        <f aca="false">IF(AND($K193="Y",$F193&lt;&gt;"Y",OR($T193="",$T193=Summary!$C$11)),$C193*IF($H193&lt;&gt;"",$H193,$D193)*INDEX(Summary!$C$6:$C$8,MATCH($P193,Summary!$B$6:$B$8,0)),0)</f>
        <v>45</v>
      </c>
      <c r="V193" s="25" t="n">
        <f aca="false">IF(AND($K193="Y",$F193&lt;&gt;"Y",OR($T193="",$T193=Summary!$C$11)),$C193*IF($H193&lt;&gt;"",$H193,$E193)*INDEX(Summary!$C$6:$C$8,MATCH($P193,Summary!$B$6:$B$8,0)),0)</f>
        <v>115</v>
      </c>
      <c r="W193" s="18" t="s">
        <v>118</v>
      </c>
      <c r="X193" s="24"/>
    </row>
    <row r="194" customFormat="false" ht="30" hidden="false" customHeight="true" outlineLevel="0" collapsed="false">
      <c r="A194" s="18" t="s">
        <v>756</v>
      </c>
      <c r="B194" s="19" t="s">
        <v>757</v>
      </c>
      <c r="C194" s="20" t="n">
        <v>1</v>
      </c>
      <c r="D194" s="21" t="n">
        <v>0</v>
      </c>
      <c r="E194" s="21" t="n">
        <v>215</v>
      </c>
      <c r="F194" s="20" t="s">
        <v>101</v>
      </c>
      <c r="G194" s="20" t="s">
        <v>101</v>
      </c>
      <c r="H194" s="22"/>
      <c r="I194" s="23" t="n">
        <f aca="false">IF(AND($K194="Y",$F194&lt;&gt;"Y",OR($T194="",$T194=Summary!$C$11)),$C194*IF($H194&lt;&gt;"",$H194,($D194+$E194)/2)*INDEX(Summary!$C$6:$C$8,MATCH($P194,Summary!$B$6:$B$8,0)),0)</f>
        <v>107.5</v>
      </c>
      <c r="J194" s="20" t="s">
        <v>157</v>
      </c>
      <c r="K194" s="20" t="s">
        <v>103</v>
      </c>
      <c r="L194" s="24" t="s">
        <v>31</v>
      </c>
      <c r="M194" s="24" t="s">
        <v>747</v>
      </c>
      <c r="N194" s="19" t="s">
        <v>758</v>
      </c>
      <c r="O194" s="18" t="s">
        <v>106</v>
      </c>
      <c r="P194" s="20" t="s">
        <v>6</v>
      </c>
      <c r="Q194" s="18" t="s">
        <v>44</v>
      </c>
      <c r="R194" s="24" t="s">
        <v>185</v>
      </c>
      <c r="S194" s="18" t="s">
        <v>39</v>
      </c>
      <c r="T194" s="18"/>
      <c r="U194" s="25" t="n">
        <f aca="false">IF(AND($K194="Y",$F194&lt;&gt;"Y",OR($T194="",$T194=Summary!$C$11)),$C194*IF($H194&lt;&gt;"",$H194,$D194)*INDEX(Summary!$C$6:$C$8,MATCH($P194,Summary!$B$6:$B$8,0)),0)</f>
        <v>0</v>
      </c>
      <c r="V194" s="25" t="n">
        <f aca="false">IF(AND($K194="Y",$F194&lt;&gt;"Y",OR($T194="",$T194=Summary!$C$11)),$C194*IF($H194&lt;&gt;"",$H194,$E194)*INDEX(Summary!$C$6:$C$8,MATCH($P194,Summary!$B$6:$B$8,0)),0)</f>
        <v>215</v>
      </c>
      <c r="W194" s="18" t="s">
        <v>118</v>
      </c>
      <c r="X194" s="24"/>
    </row>
    <row r="195" customFormat="false" ht="30" hidden="false" customHeight="true" outlineLevel="0" collapsed="false">
      <c r="A195" s="18" t="s">
        <v>759</v>
      </c>
      <c r="B195" s="19" t="s">
        <v>760</v>
      </c>
      <c r="C195" s="20" t="n">
        <v>1</v>
      </c>
      <c r="D195" s="21" t="n">
        <v>20</v>
      </c>
      <c r="E195" s="21" t="n">
        <v>45</v>
      </c>
      <c r="F195" s="20" t="s">
        <v>101</v>
      </c>
      <c r="G195" s="20" t="s">
        <v>103</v>
      </c>
      <c r="H195" s="22"/>
      <c r="I195" s="23" t="n">
        <f aca="false">IF(AND($K195="Y",$F195&lt;&gt;"Y",OR($T195="",$T195=Summary!$C$11)),$C195*IF($H195&lt;&gt;"",$H195,($D195+$E195)/2)*INDEX(Summary!$C$6:$C$8,MATCH($P195,Summary!$B$6:$B$8,0)),0)</f>
        <v>32.5</v>
      </c>
      <c r="J195" s="20" t="s">
        <v>102</v>
      </c>
      <c r="K195" s="20" t="s">
        <v>103</v>
      </c>
      <c r="L195" s="24" t="s">
        <v>31</v>
      </c>
      <c r="M195" s="24" t="s">
        <v>761</v>
      </c>
      <c r="N195" s="19"/>
      <c r="O195" s="18" t="s">
        <v>106</v>
      </c>
      <c r="P195" s="20" t="s">
        <v>6</v>
      </c>
      <c r="Q195" s="18" t="s">
        <v>45</v>
      </c>
      <c r="R195" s="24" t="s">
        <v>7</v>
      </c>
      <c r="S195" s="18" t="s">
        <v>39</v>
      </c>
      <c r="T195" s="18"/>
      <c r="U195" s="25" t="n">
        <f aca="false">IF(AND($K195="Y",$F195&lt;&gt;"Y",OR($T195="",$T195=Summary!$C$11)),$C195*IF($H195&lt;&gt;"",$H195,$D195)*INDEX(Summary!$C$6:$C$8,MATCH($P195,Summary!$B$6:$B$8,0)),0)</f>
        <v>20</v>
      </c>
      <c r="V195" s="25" t="n">
        <f aca="false">IF(AND($K195="Y",$F195&lt;&gt;"Y",OR($T195="",$T195=Summary!$C$11)),$C195*IF($H195&lt;&gt;"",$H195,$E195)*INDEX(Summary!$C$6:$C$8,MATCH($P195,Summary!$B$6:$B$8,0)),0)</f>
        <v>45</v>
      </c>
      <c r="W195" s="18" t="s">
        <v>118</v>
      </c>
      <c r="X195" s="24"/>
    </row>
    <row r="196" customFormat="false" ht="30" hidden="false" customHeight="true" outlineLevel="0" collapsed="false">
      <c r="A196" s="18" t="s">
        <v>762</v>
      </c>
      <c r="B196" s="19" t="s">
        <v>763</v>
      </c>
      <c r="C196" s="20" t="n">
        <v>1</v>
      </c>
      <c r="D196" s="21" t="n">
        <v>0</v>
      </c>
      <c r="E196" s="21" t="n">
        <v>0</v>
      </c>
      <c r="F196" s="20" t="s">
        <v>103</v>
      </c>
      <c r="G196" s="20" t="s">
        <v>101</v>
      </c>
      <c r="H196" s="22"/>
      <c r="I196" s="23" t="n">
        <f aca="false">IF(AND($K196="Y",$F196&lt;&gt;"Y",OR($T196="",$T196=Summary!$C$11)),$C196*IF($H196&lt;&gt;"",$H196,($D196+$E196)/2)*INDEX(Summary!$C$6:$C$8,MATCH($P196,Summary!$B$6:$B$8,0)),0)</f>
        <v>0</v>
      </c>
      <c r="J196" s="20" t="s">
        <v>46</v>
      </c>
      <c r="K196" s="20" t="s">
        <v>103</v>
      </c>
      <c r="L196" s="24" t="s">
        <v>31</v>
      </c>
      <c r="M196" s="24" t="s">
        <v>761</v>
      </c>
      <c r="N196" s="19"/>
      <c r="O196" s="18" t="s">
        <v>106</v>
      </c>
      <c r="P196" s="20" t="s">
        <v>6</v>
      </c>
      <c r="Q196" s="18" t="s">
        <v>46</v>
      </c>
      <c r="R196" s="24" t="s">
        <v>7</v>
      </c>
      <c r="S196" s="18" t="s">
        <v>39</v>
      </c>
      <c r="T196" s="18"/>
      <c r="U196" s="25" t="n">
        <f aca="false">IF(AND($K196="Y",$F196&lt;&gt;"Y",OR($T196="",$T196=Summary!$C$11)),$C196*IF($H196&lt;&gt;"",$H196,$D196)*INDEX(Summary!$C$6:$C$8,MATCH($P196,Summary!$B$6:$B$8,0)),0)</f>
        <v>0</v>
      </c>
      <c r="V196" s="25" t="n">
        <f aca="false">IF(AND($K196="Y",$F196&lt;&gt;"Y",OR($T196="",$T196=Summary!$C$11)),$C196*IF($H196&lt;&gt;"",$H196,$E196)*INDEX(Summary!$C$6:$C$8,MATCH($P196,Summary!$B$6:$B$8,0)),0)</f>
        <v>0</v>
      </c>
      <c r="W196" s="18" t="s">
        <v>118</v>
      </c>
      <c r="X196" s="24"/>
    </row>
    <row r="197" customFormat="false" ht="30" hidden="false" customHeight="true" outlineLevel="0" collapsed="false">
      <c r="A197" s="18" t="s">
        <v>764</v>
      </c>
      <c r="B197" s="19" t="s">
        <v>765</v>
      </c>
      <c r="C197" s="20" t="n">
        <v>1</v>
      </c>
      <c r="D197" s="21" t="n">
        <v>0</v>
      </c>
      <c r="E197" s="21" t="n">
        <v>0</v>
      </c>
      <c r="F197" s="20" t="s">
        <v>103</v>
      </c>
      <c r="G197" s="20" t="s">
        <v>101</v>
      </c>
      <c r="H197" s="22"/>
      <c r="I197" s="23" t="n">
        <f aca="false">IF(AND($K197="Y",$F197&lt;&gt;"Y",OR($T197="",$T197=Summary!$C$11)),$C197*IF($H197&lt;&gt;"",$H197,($D197+$E197)/2)*INDEX(Summary!$C$6:$C$8,MATCH($P197,Summary!$B$6:$B$8,0)),0)</f>
        <v>0</v>
      </c>
      <c r="J197" s="20" t="s">
        <v>46</v>
      </c>
      <c r="K197" s="20" t="s">
        <v>103</v>
      </c>
      <c r="L197" s="24" t="s">
        <v>31</v>
      </c>
      <c r="M197" s="24" t="s">
        <v>766</v>
      </c>
      <c r="N197" s="19"/>
      <c r="O197" s="18" t="s">
        <v>106</v>
      </c>
      <c r="P197" s="20" t="s">
        <v>6</v>
      </c>
      <c r="Q197" s="18" t="s">
        <v>46</v>
      </c>
      <c r="R197" s="24" t="s">
        <v>7</v>
      </c>
      <c r="S197" s="18" t="s">
        <v>40</v>
      </c>
      <c r="T197" s="18"/>
      <c r="U197" s="25" t="n">
        <f aca="false">IF(AND($K197="Y",$F197&lt;&gt;"Y",OR($T197="",$T197=Summary!$C$11)),$C197*IF($H197&lt;&gt;"",$H197,$D197)*INDEX(Summary!$C$6:$C$8,MATCH($P197,Summary!$B$6:$B$8,0)),0)</f>
        <v>0</v>
      </c>
      <c r="V197" s="25" t="n">
        <f aca="false">IF(AND($K197="Y",$F197&lt;&gt;"Y",OR($T197="",$T197=Summary!$C$11)),$C197*IF($H197&lt;&gt;"",$H197,$E197)*INDEX(Summary!$C$6:$C$8,MATCH($P197,Summary!$B$6:$B$8,0)),0)</f>
        <v>0</v>
      </c>
      <c r="W197" s="18" t="s">
        <v>118</v>
      </c>
      <c r="X197" s="24"/>
    </row>
    <row r="198" customFormat="false" ht="30" hidden="false" customHeight="true" outlineLevel="0" collapsed="false">
      <c r="A198" s="18" t="s">
        <v>767</v>
      </c>
      <c r="B198" s="19" t="s">
        <v>768</v>
      </c>
      <c r="C198" s="20" t="n">
        <v>1</v>
      </c>
      <c r="D198" s="21" t="n">
        <v>20</v>
      </c>
      <c r="E198" s="21" t="n">
        <v>55</v>
      </c>
      <c r="F198" s="20" t="s">
        <v>101</v>
      </c>
      <c r="G198" s="20" t="s">
        <v>101</v>
      </c>
      <c r="H198" s="22"/>
      <c r="I198" s="23" t="n">
        <f aca="false">IF(AND($K198="Y",$F198&lt;&gt;"Y",OR($T198="",$T198=Summary!$C$11)),$C198*IF($H198&lt;&gt;"",$H198,($D198+$E198)/2)*INDEX(Summary!$C$6:$C$8,MATCH($P198,Summary!$B$6:$B$8,0)),0)</f>
        <v>37.5</v>
      </c>
      <c r="J198" s="20" t="s">
        <v>102</v>
      </c>
      <c r="K198" s="20" t="s">
        <v>103</v>
      </c>
      <c r="L198" s="24" t="s">
        <v>31</v>
      </c>
      <c r="M198" s="24" t="s">
        <v>769</v>
      </c>
      <c r="N198" s="19"/>
      <c r="O198" s="18" t="s">
        <v>212</v>
      </c>
      <c r="P198" s="20" t="s">
        <v>6</v>
      </c>
      <c r="Q198" s="18" t="s">
        <v>44</v>
      </c>
      <c r="R198" s="24" t="s">
        <v>150</v>
      </c>
      <c r="S198" s="18" t="s">
        <v>40</v>
      </c>
      <c r="T198" s="18"/>
      <c r="U198" s="25" t="n">
        <f aca="false">IF(AND($K198="Y",$F198&lt;&gt;"Y",OR($T198="",$T198=Summary!$C$11)),$C198*IF($H198&lt;&gt;"",$H198,$D198)*INDEX(Summary!$C$6:$C$8,MATCH($P198,Summary!$B$6:$B$8,0)),0)</f>
        <v>20</v>
      </c>
      <c r="V198" s="25" t="n">
        <f aca="false">IF(AND($K198="Y",$F198&lt;&gt;"Y",OR($T198="",$T198=Summary!$C$11)),$C198*IF($H198&lt;&gt;"",$H198,$E198)*INDEX(Summary!$C$6:$C$8,MATCH($P198,Summary!$B$6:$B$8,0)),0)</f>
        <v>55</v>
      </c>
      <c r="W198" s="18" t="s">
        <v>118</v>
      </c>
      <c r="X198" s="24"/>
    </row>
    <row r="199" customFormat="false" ht="30" hidden="false" customHeight="true" outlineLevel="0" collapsed="false">
      <c r="A199" s="18" t="s">
        <v>770</v>
      </c>
      <c r="B199" s="19" t="s">
        <v>771</v>
      </c>
      <c r="C199" s="20" t="n">
        <v>1</v>
      </c>
      <c r="D199" s="21" t="n">
        <v>0</v>
      </c>
      <c r="E199" s="21" t="n">
        <v>1135</v>
      </c>
      <c r="F199" s="20" t="s">
        <v>101</v>
      </c>
      <c r="G199" s="20" t="s">
        <v>101</v>
      </c>
      <c r="H199" s="22"/>
      <c r="I199" s="23" t="n">
        <f aca="false">IF(AND($K199="Y",$F199&lt;&gt;"Y",OR($T199="",$T199=Summary!$C$11)),$C199*IF($H199&lt;&gt;"",$H199,($D199+$E199)/2)*INDEX(Summary!$C$6:$C$8,MATCH($P199,Summary!$B$6:$B$8,0)),0)</f>
        <v>0</v>
      </c>
      <c r="J199" s="20" t="s">
        <v>157</v>
      </c>
      <c r="K199" s="20" t="s">
        <v>101</v>
      </c>
      <c r="L199" s="24" t="s">
        <v>31</v>
      </c>
      <c r="M199" s="24" t="s">
        <v>772</v>
      </c>
      <c r="N199" s="19" t="s">
        <v>773</v>
      </c>
      <c r="O199" s="18" t="s">
        <v>212</v>
      </c>
      <c r="P199" s="20" t="s">
        <v>6</v>
      </c>
      <c r="Q199" s="18" t="s">
        <v>44</v>
      </c>
      <c r="R199" s="24" t="s">
        <v>7</v>
      </c>
      <c r="S199" s="18" t="s">
        <v>40</v>
      </c>
      <c r="T199" s="18"/>
      <c r="U199" s="25" t="n">
        <f aca="false">IF(AND($K199="Y",$F199&lt;&gt;"Y",OR($T199="",$T199=Summary!$C$11)),$C199*IF($H199&lt;&gt;"",$H199,$D199)*INDEX(Summary!$C$6:$C$8,MATCH($P199,Summary!$B$6:$B$8,0)),0)</f>
        <v>0</v>
      </c>
      <c r="V199" s="25" t="n">
        <f aca="false">IF(AND($K199="Y",$F199&lt;&gt;"Y",OR($T199="",$T199=Summary!$C$11)),$C199*IF($H199&lt;&gt;"",$H199,$E199)*INDEX(Summary!$C$6:$C$8,MATCH($P199,Summary!$B$6:$B$8,0)),0)</f>
        <v>0</v>
      </c>
      <c r="W199" s="18" t="s">
        <v>118</v>
      </c>
      <c r="X199" s="24"/>
    </row>
    <row r="200" customFormat="false" ht="30" hidden="false" customHeight="true" outlineLevel="0" collapsed="false">
      <c r="A200" s="18" t="s">
        <v>774</v>
      </c>
      <c r="B200" s="19" t="s">
        <v>775</v>
      </c>
      <c r="C200" s="20" t="n">
        <v>1</v>
      </c>
      <c r="D200" s="21" t="n">
        <v>0</v>
      </c>
      <c r="E200" s="21" t="n">
        <v>0</v>
      </c>
      <c r="F200" s="20" t="s">
        <v>103</v>
      </c>
      <c r="G200" s="20" t="s">
        <v>101</v>
      </c>
      <c r="H200" s="22"/>
      <c r="I200" s="23" t="n">
        <f aca="false">IF(AND($K200="Y",$F200&lt;&gt;"Y",OR($T200="",$T200=Summary!$C$11)),$C200*IF($H200&lt;&gt;"",$H200,($D200+$E200)/2)*INDEX(Summary!$C$6:$C$8,MATCH($P200,Summary!$B$6:$B$8,0)),0)</f>
        <v>0</v>
      </c>
      <c r="J200" s="20" t="s">
        <v>46</v>
      </c>
      <c r="K200" s="20" t="s">
        <v>103</v>
      </c>
      <c r="L200" s="24" t="s">
        <v>32</v>
      </c>
      <c r="M200" s="24" t="s">
        <v>776</v>
      </c>
      <c r="N200" s="19"/>
      <c r="O200" s="18" t="s">
        <v>106</v>
      </c>
      <c r="P200" s="20" t="s">
        <v>6</v>
      </c>
      <c r="Q200" s="18" t="s">
        <v>46</v>
      </c>
      <c r="R200" s="24" t="s">
        <v>7</v>
      </c>
      <c r="S200" s="18" t="s">
        <v>40</v>
      </c>
      <c r="T200" s="18"/>
      <c r="U200" s="25" t="n">
        <f aca="false">IF(AND($K200="Y",$F200&lt;&gt;"Y",OR($T200="",$T200=Summary!$C$11)),$C200*IF($H200&lt;&gt;"",$H200,$D200)*INDEX(Summary!$C$6:$C$8,MATCH($P200,Summary!$B$6:$B$8,0)),0)</f>
        <v>0</v>
      </c>
      <c r="V200" s="25" t="n">
        <f aca="false">IF(AND($K200="Y",$F200&lt;&gt;"Y",OR($T200="",$T200=Summary!$C$11)),$C200*IF($H200&lt;&gt;"",$H200,$E200)*INDEX(Summary!$C$6:$C$8,MATCH($P200,Summary!$B$6:$B$8,0)),0)</f>
        <v>0</v>
      </c>
      <c r="W200" s="18" t="s">
        <v>118</v>
      </c>
      <c r="X200" s="24"/>
    </row>
    <row r="201" customFormat="false" ht="30" hidden="false" customHeight="true" outlineLevel="0" collapsed="false">
      <c r="A201" s="18" t="s">
        <v>777</v>
      </c>
      <c r="B201" s="19" t="s">
        <v>778</v>
      </c>
      <c r="C201" s="20" t="n">
        <v>1</v>
      </c>
      <c r="D201" s="21" t="n">
        <v>285</v>
      </c>
      <c r="E201" s="21" t="n">
        <v>495</v>
      </c>
      <c r="F201" s="20" t="s">
        <v>101</v>
      </c>
      <c r="G201" s="20" t="s">
        <v>101</v>
      </c>
      <c r="H201" s="22"/>
      <c r="I201" s="23" t="n">
        <f aca="false">IF(AND($K201="Y",$F201&lt;&gt;"Y",OR($T201="",$T201=Summary!$C$11)),$C201*IF($H201&lt;&gt;"",$H201,($D201+$E201)/2)*INDEX(Summary!$C$6:$C$8,MATCH($P201,Summary!$B$6:$B$8,0)),0)</f>
        <v>0</v>
      </c>
      <c r="J201" s="20" t="s">
        <v>207</v>
      </c>
      <c r="K201" s="20" t="s">
        <v>101</v>
      </c>
      <c r="L201" s="24" t="s">
        <v>32</v>
      </c>
      <c r="M201" s="24" t="s">
        <v>776</v>
      </c>
      <c r="N201" s="19"/>
      <c r="O201" s="18" t="s">
        <v>106</v>
      </c>
      <c r="P201" s="20" t="s">
        <v>6</v>
      </c>
      <c r="Q201" s="18" t="s">
        <v>44</v>
      </c>
      <c r="R201" s="24" t="s">
        <v>779</v>
      </c>
      <c r="S201" s="18" t="s">
        <v>41</v>
      </c>
      <c r="T201" s="18"/>
      <c r="U201" s="25" t="n">
        <f aca="false">IF(AND($K201="Y",$F201&lt;&gt;"Y",OR($T201="",$T201=Summary!$C$11)),$C201*IF($H201&lt;&gt;"",$H201,$D201)*INDEX(Summary!$C$6:$C$8,MATCH($P201,Summary!$B$6:$B$8,0)),0)</f>
        <v>0</v>
      </c>
      <c r="V201" s="25" t="n">
        <f aca="false">IF(AND($K201="Y",$F201&lt;&gt;"Y",OR($T201="",$T201=Summary!$C$11)),$C201*IF($H201&lt;&gt;"",$H201,$E201)*INDEX(Summary!$C$6:$C$8,MATCH($P201,Summary!$B$6:$B$8,0)),0)</f>
        <v>0</v>
      </c>
      <c r="W201" s="18" t="s">
        <v>118</v>
      </c>
      <c r="X201" s="24"/>
    </row>
    <row r="202" customFormat="false" ht="30" hidden="false" customHeight="true" outlineLevel="0" collapsed="false">
      <c r="A202" s="18" t="s">
        <v>780</v>
      </c>
      <c r="B202" s="19" t="s">
        <v>781</v>
      </c>
      <c r="C202" s="20" t="n">
        <v>1</v>
      </c>
      <c r="D202" s="21" t="n">
        <v>0</v>
      </c>
      <c r="E202" s="21" t="n">
        <v>0</v>
      </c>
      <c r="F202" s="20" t="s">
        <v>103</v>
      </c>
      <c r="G202" s="20" t="s">
        <v>101</v>
      </c>
      <c r="H202" s="22"/>
      <c r="I202" s="23" t="n">
        <f aca="false">IF(AND($K202="Y",$F202&lt;&gt;"Y",OR($T202="",$T202=Summary!$C$11)),$C202*IF($H202&lt;&gt;"",$H202,($D202+$E202)/2)*INDEX(Summary!$C$6:$C$8,MATCH($P202,Summary!$B$6:$B$8,0)),0)</f>
        <v>0</v>
      </c>
      <c r="J202" s="20" t="s">
        <v>46</v>
      </c>
      <c r="K202" s="20" t="s">
        <v>103</v>
      </c>
      <c r="L202" s="24" t="s">
        <v>32</v>
      </c>
      <c r="M202" s="24" t="s">
        <v>776</v>
      </c>
      <c r="N202" s="19" t="s">
        <v>782</v>
      </c>
      <c r="O202" s="18" t="s">
        <v>106</v>
      </c>
      <c r="P202" s="20" t="s">
        <v>6</v>
      </c>
      <c r="Q202" s="18" t="s">
        <v>46</v>
      </c>
      <c r="R202" s="24" t="s">
        <v>7</v>
      </c>
      <c r="S202" s="18" t="s">
        <v>40</v>
      </c>
      <c r="T202" s="18"/>
      <c r="U202" s="25" t="n">
        <f aca="false">IF(AND($K202="Y",$F202&lt;&gt;"Y",OR($T202="",$T202=Summary!$C$11)),$C202*IF($H202&lt;&gt;"",$H202,$D202)*INDEX(Summary!$C$6:$C$8,MATCH($P202,Summary!$B$6:$B$8,0)),0)</f>
        <v>0</v>
      </c>
      <c r="V202" s="25" t="n">
        <f aca="false">IF(AND($K202="Y",$F202&lt;&gt;"Y",OR($T202="",$T202=Summary!$C$11)),$C202*IF($H202&lt;&gt;"",$H202,$E202)*INDEX(Summary!$C$6:$C$8,MATCH($P202,Summary!$B$6:$B$8,0)),0)</f>
        <v>0</v>
      </c>
      <c r="W202" s="18" t="s">
        <v>118</v>
      </c>
      <c r="X202" s="24"/>
    </row>
    <row r="203" customFormat="false" ht="30" hidden="false" customHeight="true" outlineLevel="0" collapsed="false">
      <c r="A203" s="18" t="s">
        <v>783</v>
      </c>
      <c r="B203" s="19" t="s">
        <v>784</v>
      </c>
      <c r="C203" s="20" t="n">
        <v>1</v>
      </c>
      <c r="D203" s="21" t="n">
        <v>85</v>
      </c>
      <c r="E203" s="21" t="n">
        <v>170</v>
      </c>
      <c r="F203" s="20" t="s">
        <v>101</v>
      </c>
      <c r="G203" s="20" t="s">
        <v>101</v>
      </c>
      <c r="H203" s="22"/>
      <c r="I203" s="23" t="n">
        <f aca="false">IF(AND($K203="Y",$F203&lt;&gt;"Y",OR($T203="",$T203=Summary!$C$11)),$C203*IF($H203&lt;&gt;"",$H203,($D203+$E203)/2)*INDEX(Summary!$C$6:$C$8,MATCH($P203,Summary!$B$6:$B$8,0)),0)</f>
        <v>127.5</v>
      </c>
      <c r="J203" s="20" t="s">
        <v>102</v>
      </c>
      <c r="K203" s="20" t="s">
        <v>103</v>
      </c>
      <c r="L203" s="24" t="s">
        <v>32</v>
      </c>
      <c r="M203" s="24" t="s">
        <v>785</v>
      </c>
      <c r="N203" s="19"/>
      <c r="O203" s="18" t="s">
        <v>212</v>
      </c>
      <c r="P203" s="20" t="s">
        <v>6</v>
      </c>
      <c r="Q203" s="18" t="s">
        <v>44</v>
      </c>
      <c r="R203" s="24" t="s">
        <v>786</v>
      </c>
      <c r="S203" s="18" t="s">
        <v>40</v>
      </c>
      <c r="T203" s="18"/>
      <c r="U203" s="25" t="n">
        <f aca="false">IF(AND($K203="Y",$F203&lt;&gt;"Y",OR($T203="",$T203=Summary!$C$11)),$C203*IF($H203&lt;&gt;"",$H203,$D203)*INDEX(Summary!$C$6:$C$8,MATCH($P203,Summary!$B$6:$B$8,0)),0)</f>
        <v>85</v>
      </c>
      <c r="V203" s="25" t="n">
        <f aca="false">IF(AND($K203="Y",$F203&lt;&gt;"Y",OR($T203="",$T203=Summary!$C$11)),$C203*IF($H203&lt;&gt;"",$H203,$E203)*INDEX(Summary!$C$6:$C$8,MATCH($P203,Summary!$B$6:$B$8,0)),0)</f>
        <v>170</v>
      </c>
      <c r="W203" s="18" t="s">
        <v>118</v>
      </c>
      <c r="X203" s="24"/>
    </row>
    <row r="204" customFormat="false" ht="30" hidden="false" customHeight="true" outlineLevel="0" collapsed="false">
      <c r="A204" s="18" t="s">
        <v>787</v>
      </c>
      <c r="B204" s="19" t="s">
        <v>788</v>
      </c>
      <c r="C204" s="20" t="n">
        <v>3</v>
      </c>
      <c r="D204" s="21" t="n">
        <v>11</v>
      </c>
      <c r="E204" s="21" t="n">
        <v>20</v>
      </c>
      <c r="F204" s="20" t="s">
        <v>101</v>
      </c>
      <c r="G204" s="20" t="s">
        <v>101</v>
      </c>
      <c r="H204" s="22"/>
      <c r="I204" s="23" t="n">
        <f aca="false">IF(AND($K204="Y",$F204&lt;&gt;"Y",OR($T204="",$T204=Summary!$C$11)),$C204*IF($H204&lt;&gt;"",$H204,($D204+$E204)/2)*INDEX(Summary!$C$6:$C$8,MATCH($P204,Summary!$B$6:$B$8,0)),0)</f>
        <v>46.5</v>
      </c>
      <c r="J204" s="20" t="s">
        <v>102</v>
      </c>
      <c r="K204" s="20" t="s">
        <v>103</v>
      </c>
      <c r="L204" s="24" t="s">
        <v>32</v>
      </c>
      <c r="M204" s="24" t="s">
        <v>785</v>
      </c>
      <c r="N204" s="19"/>
      <c r="O204" s="18" t="s">
        <v>106</v>
      </c>
      <c r="P204" s="20" t="s">
        <v>6</v>
      </c>
      <c r="Q204" s="18" t="s">
        <v>44</v>
      </c>
      <c r="R204" s="24" t="s">
        <v>786</v>
      </c>
      <c r="S204" s="18" t="s">
        <v>40</v>
      </c>
      <c r="T204" s="18"/>
      <c r="U204" s="25" t="n">
        <f aca="false">IF(AND($K204="Y",$F204&lt;&gt;"Y",OR($T204="",$T204=Summary!$C$11)),$C204*IF($H204&lt;&gt;"",$H204,$D204)*INDEX(Summary!$C$6:$C$8,MATCH($P204,Summary!$B$6:$B$8,0)),0)</f>
        <v>33</v>
      </c>
      <c r="V204" s="25" t="n">
        <f aca="false">IF(AND($K204="Y",$F204&lt;&gt;"Y",OR($T204="",$T204=Summary!$C$11)),$C204*IF($H204&lt;&gt;"",$H204,$E204)*INDEX(Summary!$C$6:$C$8,MATCH($P204,Summary!$B$6:$B$8,0)),0)</f>
        <v>60</v>
      </c>
      <c r="W204" s="18" t="s">
        <v>118</v>
      </c>
      <c r="X204" s="24"/>
    </row>
    <row r="205" customFormat="false" ht="30" hidden="false" customHeight="true" outlineLevel="0" collapsed="false">
      <c r="A205" s="18" t="s">
        <v>789</v>
      </c>
      <c r="B205" s="19" t="s">
        <v>790</v>
      </c>
      <c r="C205" s="20" t="n">
        <v>20</v>
      </c>
      <c r="D205" s="21" t="n">
        <v>1</v>
      </c>
      <c r="E205" s="21" t="n">
        <v>3</v>
      </c>
      <c r="F205" s="20" t="s">
        <v>101</v>
      </c>
      <c r="G205" s="20" t="s">
        <v>101</v>
      </c>
      <c r="H205" s="22"/>
      <c r="I205" s="23" t="n">
        <f aca="false">IF(AND($K205="Y",$F205&lt;&gt;"Y",OR($T205="",$T205=Summary!$C$11)),$C205*IF($H205&lt;&gt;"",$H205,($D205+$E205)/2)*INDEX(Summary!$C$6:$C$8,MATCH($P205,Summary!$B$6:$B$8,0)),0)</f>
        <v>40</v>
      </c>
      <c r="J205" s="20" t="s">
        <v>102</v>
      </c>
      <c r="K205" s="20" t="s">
        <v>103</v>
      </c>
      <c r="L205" s="24" t="s">
        <v>32</v>
      </c>
      <c r="M205" s="24" t="s">
        <v>785</v>
      </c>
      <c r="N205" s="19"/>
      <c r="O205" s="18" t="s">
        <v>106</v>
      </c>
      <c r="P205" s="20" t="s">
        <v>6</v>
      </c>
      <c r="Q205" s="18" t="s">
        <v>44</v>
      </c>
      <c r="R205" s="24" t="s">
        <v>150</v>
      </c>
      <c r="S205" s="18" t="s">
        <v>40</v>
      </c>
      <c r="T205" s="18"/>
      <c r="U205" s="25" t="n">
        <f aca="false">IF(AND($K205="Y",$F205&lt;&gt;"Y",OR($T205="",$T205=Summary!$C$11)),$C205*IF($H205&lt;&gt;"",$H205,$D205)*INDEX(Summary!$C$6:$C$8,MATCH($P205,Summary!$B$6:$B$8,0)),0)</f>
        <v>20</v>
      </c>
      <c r="V205" s="25" t="n">
        <f aca="false">IF(AND($K205="Y",$F205&lt;&gt;"Y",OR($T205="",$T205=Summary!$C$11)),$C205*IF($H205&lt;&gt;"",$H205,$E205)*INDEX(Summary!$C$6:$C$8,MATCH($P205,Summary!$B$6:$B$8,0)),0)</f>
        <v>60</v>
      </c>
      <c r="W205" s="18" t="s">
        <v>118</v>
      </c>
      <c r="X205" s="24"/>
    </row>
    <row r="206" customFormat="false" ht="30" hidden="false" customHeight="true" outlineLevel="0" collapsed="false">
      <c r="A206" s="18" t="s">
        <v>791</v>
      </c>
      <c r="B206" s="19" t="s">
        <v>792</v>
      </c>
      <c r="C206" s="20" t="n">
        <v>1</v>
      </c>
      <c r="D206" s="21" t="n">
        <v>30</v>
      </c>
      <c r="E206" s="21" t="n">
        <v>70</v>
      </c>
      <c r="F206" s="20" t="s">
        <v>101</v>
      </c>
      <c r="G206" s="20" t="s">
        <v>103</v>
      </c>
      <c r="H206" s="22"/>
      <c r="I206" s="23" t="n">
        <f aca="false">IF(AND($K206="Y",$F206&lt;&gt;"Y",OR($T206="",$T206=Summary!$C$11)),$C206*IF($H206&lt;&gt;"",$H206,($D206+$E206)/2)*INDEX(Summary!$C$6:$C$8,MATCH($P206,Summary!$B$6:$B$8,0)),0)</f>
        <v>50</v>
      </c>
      <c r="J206" s="20" t="s">
        <v>102</v>
      </c>
      <c r="K206" s="20" t="s">
        <v>103</v>
      </c>
      <c r="L206" s="24" t="s">
        <v>32</v>
      </c>
      <c r="M206" s="24" t="s">
        <v>785</v>
      </c>
      <c r="N206" s="19"/>
      <c r="O206" s="18" t="s">
        <v>212</v>
      </c>
      <c r="P206" s="20" t="s">
        <v>6</v>
      </c>
      <c r="Q206" s="18" t="s">
        <v>45</v>
      </c>
      <c r="R206" s="24" t="s">
        <v>468</v>
      </c>
      <c r="S206" s="18" t="s">
        <v>40</v>
      </c>
      <c r="T206" s="18"/>
      <c r="U206" s="25" t="n">
        <f aca="false">IF(AND($K206="Y",$F206&lt;&gt;"Y",OR($T206="",$T206=Summary!$C$11)),$C206*IF($H206&lt;&gt;"",$H206,$D206)*INDEX(Summary!$C$6:$C$8,MATCH($P206,Summary!$B$6:$B$8,0)),0)</f>
        <v>30</v>
      </c>
      <c r="V206" s="25" t="n">
        <f aca="false">IF(AND($K206="Y",$F206&lt;&gt;"Y",OR($T206="",$T206=Summary!$C$11)),$C206*IF($H206&lt;&gt;"",$H206,$E206)*INDEX(Summary!$C$6:$C$8,MATCH($P206,Summary!$B$6:$B$8,0)),0)</f>
        <v>70</v>
      </c>
      <c r="W206" s="18" t="s">
        <v>118</v>
      </c>
      <c r="X206" s="24"/>
    </row>
    <row r="207" customFormat="false" ht="30" hidden="false" customHeight="true" outlineLevel="0" collapsed="false">
      <c r="A207" s="18" t="s">
        <v>793</v>
      </c>
      <c r="B207" s="19" t="s">
        <v>794</v>
      </c>
      <c r="C207" s="20" t="n">
        <v>1</v>
      </c>
      <c r="D207" s="21" t="n">
        <v>20</v>
      </c>
      <c r="E207" s="21" t="n">
        <v>55</v>
      </c>
      <c r="F207" s="20" t="s">
        <v>101</v>
      </c>
      <c r="G207" s="20" t="s">
        <v>101</v>
      </c>
      <c r="H207" s="22"/>
      <c r="I207" s="23" t="n">
        <f aca="false">IF(AND($K207="Y",$F207&lt;&gt;"Y",OR($T207="",$T207=Summary!$C$11)),$C207*IF($H207&lt;&gt;"",$H207,($D207+$E207)/2)*INDEX(Summary!$C$6:$C$8,MATCH($P207,Summary!$B$6:$B$8,0)),0)</f>
        <v>37.5</v>
      </c>
      <c r="J207" s="20" t="s">
        <v>102</v>
      </c>
      <c r="K207" s="20" t="s">
        <v>103</v>
      </c>
      <c r="L207" s="24" t="s">
        <v>32</v>
      </c>
      <c r="M207" s="24" t="s">
        <v>795</v>
      </c>
      <c r="N207" s="19"/>
      <c r="O207" s="18" t="s">
        <v>106</v>
      </c>
      <c r="P207" s="20" t="s">
        <v>6</v>
      </c>
      <c r="Q207" s="18" t="s">
        <v>44</v>
      </c>
      <c r="R207" s="24" t="s">
        <v>132</v>
      </c>
      <c r="S207" s="18" t="s">
        <v>40</v>
      </c>
      <c r="T207" s="18"/>
      <c r="U207" s="25" t="n">
        <f aca="false">IF(AND($K207="Y",$F207&lt;&gt;"Y",OR($T207="",$T207=Summary!$C$11)),$C207*IF($H207&lt;&gt;"",$H207,$D207)*INDEX(Summary!$C$6:$C$8,MATCH($P207,Summary!$B$6:$B$8,0)),0)</f>
        <v>20</v>
      </c>
      <c r="V207" s="25" t="n">
        <f aca="false">IF(AND($K207="Y",$F207&lt;&gt;"Y",OR($T207="",$T207=Summary!$C$11)),$C207*IF($H207&lt;&gt;"",$H207,$E207)*INDEX(Summary!$C$6:$C$8,MATCH($P207,Summary!$B$6:$B$8,0)),0)</f>
        <v>55</v>
      </c>
      <c r="W207" s="18" t="s">
        <v>62</v>
      </c>
      <c r="X207" s="24"/>
    </row>
    <row r="208" customFormat="false" ht="30" hidden="false" customHeight="true" outlineLevel="0" collapsed="false">
      <c r="A208" s="18" t="s">
        <v>796</v>
      </c>
      <c r="B208" s="19" t="s">
        <v>797</v>
      </c>
      <c r="C208" s="20" t="n">
        <v>1</v>
      </c>
      <c r="D208" s="21" t="n">
        <v>0</v>
      </c>
      <c r="E208" s="21" t="n">
        <v>45</v>
      </c>
      <c r="F208" s="20" t="s">
        <v>101</v>
      </c>
      <c r="G208" s="20" t="s">
        <v>103</v>
      </c>
      <c r="H208" s="22"/>
      <c r="I208" s="23" t="n">
        <f aca="false">IF(AND($K208="Y",$F208&lt;&gt;"Y",OR($T208="",$T208=Summary!$C$11)),$C208*IF($H208&lt;&gt;"",$H208,($D208+$E208)/2)*INDEX(Summary!$C$6:$C$8,MATCH($P208,Summary!$B$6:$B$8,0)),0)</f>
        <v>22.5</v>
      </c>
      <c r="J208" s="20" t="s">
        <v>157</v>
      </c>
      <c r="K208" s="20" t="s">
        <v>103</v>
      </c>
      <c r="L208" s="24" t="s">
        <v>32</v>
      </c>
      <c r="M208" s="24" t="s">
        <v>795</v>
      </c>
      <c r="N208" s="19"/>
      <c r="O208" s="18" t="s">
        <v>106</v>
      </c>
      <c r="P208" s="20" t="s">
        <v>6</v>
      </c>
      <c r="Q208" s="18" t="s">
        <v>45</v>
      </c>
      <c r="R208" s="24" t="s">
        <v>7</v>
      </c>
      <c r="S208" s="18" t="s">
        <v>40</v>
      </c>
      <c r="T208" s="18"/>
      <c r="U208" s="25" t="n">
        <f aca="false">IF(AND($K208="Y",$F208&lt;&gt;"Y",OR($T208="",$T208=Summary!$C$11)),$C208*IF($H208&lt;&gt;"",$H208,$D208)*INDEX(Summary!$C$6:$C$8,MATCH($P208,Summary!$B$6:$B$8,0)),0)</f>
        <v>0</v>
      </c>
      <c r="V208" s="25" t="n">
        <f aca="false">IF(AND($K208="Y",$F208&lt;&gt;"Y",OR($T208="",$T208=Summary!$C$11)),$C208*IF($H208&lt;&gt;"",$H208,$E208)*INDEX(Summary!$C$6:$C$8,MATCH($P208,Summary!$B$6:$B$8,0)),0)</f>
        <v>45</v>
      </c>
      <c r="W208" s="18" t="s">
        <v>118</v>
      </c>
      <c r="X208" s="24"/>
    </row>
    <row r="209" customFormat="false" ht="30" hidden="false" customHeight="true" outlineLevel="0" collapsed="false">
      <c r="A209" s="18" t="s">
        <v>798</v>
      </c>
      <c r="B209" s="19" t="s">
        <v>799</v>
      </c>
      <c r="C209" s="20" t="n">
        <v>1</v>
      </c>
      <c r="D209" s="21" t="n">
        <v>30</v>
      </c>
      <c r="E209" s="21" t="n">
        <v>55</v>
      </c>
      <c r="F209" s="20" t="s">
        <v>101</v>
      </c>
      <c r="G209" s="20" t="s">
        <v>101</v>
      </c>
      <c r="H209" s="22"/>
      <c r="I209" s="23" t="n">
        <f aca="false">IF(AND($K209="Y",$F209&lt;&gt;"Y",OR($T209="",$T209=Summary!$C$11)),$C209*IF($H209&lt;&gt;"",$H209,($D209+$E209)/2)*INDEX(Summary!$C$6:$C$8,MATCH($P209,Summary!$B$6:$B$8,0)),0)</f>
        <v>42.5</v>
      </c>
      <c r="J209" s="20" t="s">
        <v>102</v>
      </c>
      <c r="K209" s="20" t="s">
        <v>103</v>
      </c>
      <c r="L209" s="24" t="s">
        <v>32</v>
      </c>
      <c r="M209" s="24" t="s">
        <v>800</v>
      </c>
      <c r="N209" s="19" t="s">
        <v>801</v>
      </c>
      <c r="O209" s="18" t="s">
        <v>212</v>
      </c>
      <c r="P209" s="20" t="s">
        <v>6</v>
      </c>
      <c r="Q209" s="18" t="s">
        <v>44</v>
      </c>
      <c r="R209" s="24" t="s">
        <v>150</v>
      </c>
      <c r="S209" s="18" t="s">
        <v>40</v>
      </c>
      <c r="T209" s="18"/>
      <c r="U209" s="25" t="n">
        <f aca="false">IF(AND($K209="Y",$F209&lt;&gt;"Y",OR($T209="",$T209=Summary!$C$11)),$C209*IF($H209&lt;&gt;"",$H209,$D209)*INDEX(Summary!$C$6:$C$8,MATCH($P209,Summary!$B$6:$B$8,0)),0)</f>
        <v>30</v>
      </c>
      <c r="V209" s="25" t="n">
        <f aca="false">IF(AND($K209="Y",$F209&lt;&gt;"Y",OR($T209="",$T209=Summary!$C$11)),$C209*IF($H209&lt;&gt;"",$H209,$E209)*INDEX(Summary!$C$6:$C$8,MATCH($P209,Summary!$B$6:$B$8,0)),0)</f>
        <v>55</v>
      </c>
      <c r="W209" s="18" t="s">
        <v>118</v>
      </c>
      <c r="X209" s="24"/>
    </row>
    <row r="210" customFormat="false" ht="30" hidden="false" customHeight="true" outlineLevel="0" collapsed="false">
      <c r="A210" s="18" t="s">
        <v>802</v>
      </c>
      <c r="B210" s="19" t="s">
        <v>803</v>
      </c>
      <c r="C210" s="20" t="n">
        <v>1</v>
      </c>
      <c r="D210" s="21" t="n">
        <v>30</v>
      </c>
      <c r="E210" s="21" t="n">
        <v>85</v>
      </c>
      <c r="F210" s="20" t="s">
        <v>101</v>
      </c>
      <c r="G210" s="20" t="s">
        <v>101</v>
      </c>
      <c r="H210" s="22"/>
      <c r="I210" s="23" t="n">
        <f aca="false">IF(AND($K210="Y",$F210&lt;&gt;"Y",OR($T210="",$T210=Summary!$C$11)),$C210*IF($H210&lt;&gt;"",$H210,($D210+$E210)/2)*INDEX(Summary!$C$6:$C$8,MATCH($P210,Summary!$B$6:$B$8,0)),0)</f>
        <v>57.5</v>
      </c>
      <c r="J210" s="20" t="s">
        <v>157</v>
      </c>
      <c r="K210" s="20" t="s">
        <v>103</v>
      </c>
      <c r="L210" s="24" t="s">
        <v>32</v>
      </c>
      <c r="M210" s="24" t="s">
        <v>804</v>
      </c>
      <c r="N210" s="19"/>
      <c r="O210" s="18" t="s">
        <v>106</v>
      </c>
      <c r="P210" s="20" t="s">
        <v>6</v>
      </c>
      <c r="Q210" s="18" t="s">
        <v>44</v>
      </c>
      <c r="R210" s="24" t="s">
        <v>805</v>
      </c>
      <c r="S210" s="18" t="s">
        <v>40</v>
      </c>
      <c r="T210" s="18"/>
      <c r="U210" s="25" t="n">
        <f aca="false">IF(AND($K210="Y",$F210&lt;&gt;"Y",OR($T210="",$T210=Summary!$C$11)),$C210*IF($H210&lt;&gt;"",$H210,$D210)*INDEX(Summary!$C$6:$C$8,MATCH($P210,Summary!$B$6:$B$8,0)),0)</f>
        <v>30</v>
      </c>
      <c r="V210" s="25" t="n">
        <f aca="false">IF(AND($K210="Y",$F210&lt;&gt;"Y",OR($T210="",$T210=Summary!$C$11)),$C210*IF($H210&lt;&gt;"",$H210,$E210)*INDEX(Summary!$C$6:$C$8,MATCH($P210,Summary!$B$6:$B$8,0)),0)</f>
        <v>85</v>
      </c>
      <c r="W210" s="18" t="s">
        <v>118</v>
      </c>
      <c r="X210" s="24"/>
    </row>
    <row r="211" customFormat="false" ht="30" hidden="false" customHeight="true" outlineLevel="0" collapsed="false">
      <c r="A211" s="18" t="s">
        <v>806</v>
      </c>
      <c r="B211" s="19" t="s">
        <v>807</v>
      </c>
      <c r="C211" s="20" t="n">
        <v>1</v>
      </c>
      <c r="D211" s="21" t="n">
        <v>50</v>
      </c>
      <c r="E211" s="21" t="n">
        <v>80</v>
      </c>
      <c r="F211" s="20" t="s">
        <v>101</v>
      </c>
      <c r="G211" s="20" t="s">
        <v>101</v>
      </c>
      <c r="H211" s="22"/>
      <c r="I211" s="23" t="n">
        <f aca="false">IF(AND($K211="Y",$F211&lt;&gt;"Y",OR($T211="",$T211=Summary!$C$11)),$C211*IF($H211&lt;&gt;"",$H211,($D211+$E211)/2)*INDEX(Summary!$C$6:$C$8,MATCH($P211,Summary!$B$6:$B$8,0)),0)</f>
        <v>65</v>
      </c>
      <c r="J211" s="20" t="s">
        <v>102</v>
      </c>
      <c r="K211" s="20" t="s">
        <v>103</v>
      </c>
      <c r="L211" s="24" t="s">
        <v>32</v>
      </c>
      <c r="M211" s="24" t="s">
        <v>519</v>
      </c>
      <c r="N211" s="19"/>
      <c r="O211" s="18" t="s">
        <v>212</v>
      </c>
      <c r="P211" s="20" t="s">
        <v>6</v>
      </c>
      <c r="Q211" s="18" t="s">
        <v>44</v>
      </c>
      <c r="R211" s="24" t="s">
        <v>213</v>
      </c>
      <c r="S211" s="18" t="s">
        <v>40</v>
      </c>
      <c r="T211" s="18"/>
      <c r="U211" s="25" t="n">
        <f aca="false">IF(AND($K211="Y",$F211&lt;&gt;"Y",OR($T211="",$T211=Summary!$C$11)),$C211*IF($H211&lt;&gt;"",$H211,$D211)*INDEX(Summary!$C$6:$C$8,MATCH($P211,Summary!$B$6:$B$8,0)),0)</f>
        <v>50</v>
      </c>
      <c r="V211" s="25" t="n">
        <f aca="false">IF(AND($K211="Y",$F211&lt;&gt;"Y",OR($T211="",$T211=Summary!$C$11)),$C211*IF($H211&lt;&gt;"",$H211,$E211)*INDEX(Summary!$C$6:$C$8,MATCH($P211,Summary!$B$6:$B$8,0)),0)</f>
        <v>80</v>
      </c>
      <c r="W211" s="18" t="s">
        <v>118</v>
      </c>
      <c r="X211" s="24"/>
    </row>
    <row r="212" customFormat="false" ht="30" hidden="false" customHeight="true" outlineLevel="0" collapsed="false">
      <c r="A212" s="18" t="s">
        <v>808</v>
      </c>
      <c r="B212" s="19" t="s">
        <v>809</v>
      </c>
      <c r="C212" s="20" t="n">
        <v>1</v>
      </c>
      <c r="D212" s="21" t="n">
        <v>85</v>
      </c>
      <c r="E212" s="21" t="n">
        <v>170</v>
      </c>
      <c r="F212" s="20" t="s">
        <v>101</v>
      </c>
      <c r="G212" s="20" t="s">
        <v>101</v>
      </c>
      <c r="H212" s="22"/>
      <c r="I212" s="23" t="n">
        <f aca="false">IF(AND($K212="Y",$F212&lt;&gt;"Y",OR($T212="",$T212=Summary!$C$11)),$C212*IF($H212&lt;&gt;"",$H212,($D212+$E212)/2)*INDEX(Summary!$C$6:$C$8,MATCH($P212,Summary!$B$6:$B$8,0)),0)</f>
        <v>127.5</v>
      </c>
      <c r="J212" s="20" t="s">
        <v>102</v>
      </c>
      <c r="K212" s="20" t="s">
        <v>103</v>
      </c>
      <c r="L212" s="24" t="s">
        <v>32</v>
      </c>
      <c r="M212" s="24" t="s">
        <v>810</v>
      </c>
      <c r="N212" s="19" t="s">
        <v>811</v>
      </c>
      <c r="O212" s="18" t="s">
        <v>106</v>
      </c>
      <c r="P212" s="20" t="s">
        <v>6</v>
      </c>
      <c r="Q212" s="18" t="s">
        <v>44</v>
      </c>
      <c r="R212" s="24" t="s">
        <v>812</v>
      </c>
      <c r="S212" s="18" t="s">
        <v>41</v>
      </c>
      <c r="T212" s="18"/>
      <c r="U212" s="25" t="n">
        <f aca="false">IF(AND($K212="Y",$F212&lt;&gt;"Y",OR($T212="",$T212=Summary!$C$11)),$C212*IF($H212&lt;&gt;"",$H212,$D212)*INDEX(Summary!$C$6:$C$8,MATCH($P212,Summary!$B$6:$B$8,0)),0)</f>
        <v>85</v>
      </c>
      <c r="V212" s="25" t="n">
        <f aca="false">IF(AND($K212="Y",$F212&lt;&gt;"Y",OR($T212="",$T212=Summary!$C$11)),$C212*IF($H212&lt;&gt;"",$H212,$E212)*INDEX(Summary!$C$6:$C$8,MATCH($P212,Summary!$B$6:$B$8,0)),0)</f>
        <v>170</v>
      </c>
      <c r="W212" s="18" t="s">
        <v>118</v>
      </c>
      <c r="X212" s="24"/>
    </row>
    <row r="213" customFormat="false" ht="30" hidden="false" customHeight="true" outlineLevel="0" collapsed="false">
      <c r="A213" s="18" t="s">
        <v>813</v>
      </c>
      <c r="B213" s="19" t="s">
        <v>814</v>
      </c>
      <c r="C213" s="20" t="n">
        <v>1</v>
      </c>
      <c r="D213" s="21" t="n">
        <v>115</v>
      </c>
      <c r="E213" s="21" t="n">
        <v>255</v>
      </c>
      <c r="F213" s="20" t="s">
        <v>101</v>
      </c>
      <c r="G213" s="20" t="s">
        <v>101</v>
      </c>
      <c r="H213" s="22"/>
      <c r="I213" s="23" t="n">
        <f aca="false">IF(AND($K213="Y",$F213&lt;&gt;"Y",OR($T213="",$T213=Summary!$C$11)),$C213*IF($H213&lt;&gt;"",$H213,($D213+$E213)/2)*INDEX(Summary!$C$6:$C$8,MATCH($P213,Summary!$B$6:$B$8,0)),0)</f>
        <v>185</v>
      </c>
      <c r="J213" s="20" t="s">
        <v>102</v>
      </c>
      <c r="K213" s="20" t="s">
        <v>103</v>
      </c>
      <c r="L213" s="24" t="s">
        <v>32</v>
      </c>
      <c r="M213" s="24" t="s">
        <v>810</v>
      </c>
      <c r="N213" s="19"/>
      <c r="O213" s="18" t="s">
        <v>106</v>
      </c>
      <c r="P213" s="20" t="s">
        <v>6</v>
      </c>
      <c r="Q213" s="18" t="s">
        <v>44</v>
      </c>
      <c r="R213" s="24" t="s">
        <v>815</v>
      </c>
      <c r="S213" s="18" t="s">
        <v>41</v>
      </c>
      <c r="T213" s="18"/>
      <c r="U213" s="25" t="n">
        <f aca="false">IF(AND($K213="Y",$F213&lt;&gt;"Y",OR($T213="",$T213=Summary!$C$11)),$C213*IF($H213&lt;&gt;"",$H213,$D213)*INDEX(Summary!$C$6:$C$8,MATCH($P213,Summary!$B$6:$B$8,0)),0)</f>
        <v>115</v>
      </c>
      <c r="V213" s="25" t="n">
        <f aca="false">IF(AND($K213="Y",$F213&lt;&gt;"Y",OR($T213="",$T213=Summary!$C$11)),$C213*IF($H213&lt;&gt;"",$H213,$E213)*INDEX(Summary!$C$6:$C$8,MATCH($P213,Summary!$B$6:$B$8,0)),0)</f>
        <v>255</v>
      </c>
      <c r="W213" s="18" t="s">
        <v>118</v>
      </c>
      <c r="X213" s="24"/>
    </row>
    <row r="214" customFormat="false" ht="30" hidden="false" customHeight="true" outlineLevel="0" collapsed="false">
      <c r="A214" s="18" t="s">
        <v>816</v>
      </c>
      <c r="B214" s="19" t="s">
        <v>817</v>
      </c>
      <c r="C214" s="20" t="n">
        <v>1</v>
      </c>
      <c r="D214" s="21" t="n">
        <v>115</v>
      </c>
      <c r="E214" s="21" t="n">
        <v>215</v>
      </c>
      <c r="F214" s="20" t="s">
        <v>101</v>
      </c>
      <c r="G214" s="20" t="s">
        <v>101</v>
      </c>
      <c r="H214" s="22"/>
      <c r="I214" s="23" t="n">
        <f aca="false">IF(AND($K214="Y",$F214&lt;&gt;"Y",OR($T214="",$T214=Summary!$C$11)),$C214*IF($H214&lt;&gt;"",$H214,($D214+$E214)/2)*INDEX(Summary!$C$6:$C$8,MATCH($P214,Summary!$B$6:$B$8,0)),0)</f>
        <v>165</v>
      </c>
      <c r="J214" s="20" t="s">
        <v>102</v>
      </c>
      <c r="K214" s="20" t="s">
        <v>103</v>
      </c>
      <c r="L214" s="24" t="s">
        <v>32</v>
      </c>
      <c r="M214" s="24" t="s">
        <v>810</v>
      </c>
      <c r="N214" s="19"/>
      <c r="O214" s="18" t="s">
        <v>140</v>
      </c>
      <c r="P214" s="20" t="s">
        <v>6</v>
      </c>
      <c r="Q214" s="18" t="s">
        <v>44</v>
      </c>
      <c r="R214" s="24" t="s">
        <v>327</v>
      </c>
      <c r="S214" s="18" t="s">
        <v>41</v>
      </c>
      <c r="T214" s="18"/>
      <c r="U214" s="25" t="n">
        <f aca="false">IF(AND($K214="Y",$F214&lt;&gt;"Y",OR($T214="",$T214=Summary!$C$11)),$C214*IF($H214&lt;&gt;"",$H214,$D214)*INDEX(Summary!$C$6:$C$8,MATCH($P214,Summary!$B$6:$B$8,0)),0)</f>
        <v>115</v>
      </c>
      <c r="V214" s="25" t="n">
        <f aca="false">IF(AND($K214="Y",$F214&lt;&gt;"Y",OR($T214="",$T214=Summary!$C$11)),$C214*IF($H214&lt;&gt;"",$H214,$E214)*INDEX(Summary!$C$6:$C$8,MATCH($P214,Summary!$B$6:$B$8,0)),0)</f>
        <v>215</v>
      </c>
      <c r="W214" s="18" t="s">
        <v>118</v>
      </c>
      <c r="X214" s="24"/>
    </row>
    <row r="215" customFormat="false" ht="30" hidden="false" customHeight="true" outlineLevel="0" collapsed="false">
      <c r="A215" s="18" t="s">
        <v>818</v>
      </c>
      <c r="B215" s="19" t="s">
        <v>819</v>
      </c>
      <c r="C215" s="20" t="n">
        <v>1</v>
      </c>
      <c r="D215" s="21" t="n">
        <v>10</v>
      </c>
      <c r="E215" s="21" t="n">
        <v>20</v>
      </c>
      <c r="F215" s="20" t="s">
        <v>101</v>
      </c>
      <c r="G215" s="20" t="s">
        <v>103</v>
      </c>
      <c r="H215" s="22"/>
      <c r="I215" s="23" t="n">
        <f aca="false">IF(AND($K215="Y",$F215&lt;&gt;"Y",OR($T215="",$T215=Summary!$C$11)),$C215*IF($H215&lt;&gt;"",$H215,($D215+$E215)/2)*INDEX(Summary!$C$6:$C$8,MATCH($P215,Summary!$B$6:$B$8,0)),0)</f>
        <v>15</v>
      </c>
      <c r="J215" s="20" t="s">
        <v>102</v>
      </c>
      <c r="K215" s="20" t="s">
        <v>103</v>
      </c>
      <c r="L215" s="24" t="s">
        <v>32</v>
      </c>
      <c r="M215" s="24" t="s">
        <v>810</v>
      </c>
      <c r="N215" s="19"/>
      <c r="O215" s="18" t="s">
        <v>212</v>
      </c>
      <c r="P215" s="20" t="s">
        <v>6</v>
      </c>
      <c r="Q215" s="18" t="s">
        <v>45</v>
      </c>
      <c r="R215" s="24" t="s">
        <v>7</v>
      </c>
      <c r="S215" s="18" t="s">
        <v>41</v>
      </c>
      <c r="T215" s="18"/>
      <c r="U215" s="25" t="n">
        <f aca="false">IF(AND($K215="Y",$F215&lt;&gt;"Y",OR($T215="",$T215=Summary!$C$11)),$C215*IF($H215&lt;&gt;"",$H215,$D215)*INDEX(Summary!$C$6:$C$8,MATCH($P215,Summary!$B$6:$B$8,0)),0)</f>
        <v>10</v>
      </c>
      <c r="V215" s="25" t="n">
        <f aca="false">IF(AND($K215="Y",$F215&lt;&gt;"Y",OR($T215="",$T215=Summary!$C$11)),$C215*IF($H215&lt;&gt;"",$H215,$E215)*INDEX(Summary!$C$6:$C$8,MATCH($P215,Summary!$B$6:$B$8,0)),0)</f>
        <v>20</v>
      </c>
      <c r="W215" s="18" t="s">
        <v>118</v>
      </c>
      <c r="X215" s="24"/>
    </row>
    <row r="216" customFormat="false" ht="30" hidden="false" customHeight="true" outlineLevel="0" collapsed="false">
      <c r="A216" s="18" t="s">
        <v>820</v>
      </c>
      <c r="B216" s="19" t="s">
        <v>821</v>
      </c>
      <c r="C216" s="20" t="n">
        <v>1</v>
      </c>
      <c r="D216" s="21" t="n">
        <v>0</v>
      </c>
      <c r="E216" s="21" t="n">
        <v>0</v>
      </c>
      <c r="F216" s="20" t="s">
        <v>103</v>
      </c>
      <c r="G216" s="20" t="s">
        <v>101</v>
      </c>
      <c r="H216" s="22"/>
      <c r="I216" s="23" t="n">
        <f aca="false">IF(AND($K216="Y",$F216&lt;&gt;"Y",OR($T216="",$T216=Summary!$C$11)),$C216*IF($H216&lt;&gt;"",$H216,($D216+$E216)/2)*INDEX(Summary!$C$6:$C$8,MATCH($P216,Summary!$B$6:$B$8,0)),0)</f>
        <v>0</v>
      </c>
      <c r="J216" s="20" t="s">
        <v>46</v>
      </c>
      <c r="K216" s="20" t="s">
        <v>103</v>
      </c>
      <c r="L216" s="24" t="s">
        <v>33</v>
      </c>
      <c r="M216" s="24" t="s">
        <v>822</v>
      </c>
      <c r="N216" s="19"/>
      <c r="O216" s="18" t="s">
        <v>106</v>
      </c>
      <c r="P216" s="20" t="s">
        <v>6</v>
      </c>
      <c r="Q216" s="18" t="s">
        <v>46</v>
      </c>
      <c r="R216" s="24" t="s">
        <v>7</v>
      </c>
      <c r="S216" s="18" t="s">
        <v>40</v>
      </c>
      <c r="T216" s="18"/>
      <c r="U216" s="25" t="n">
        <f aca="false">IF(AND($K216="Y",$F216&lt;&gt;"Y",OR($T216="",$T216=Summary!$C$11)),$C216*IF($H216&lt;&gt;"",$H216,$D216)*INDEX(Summary!$C$6:$C$8,MATCH($P216,Summary!$B$6:$B$8,0)),0)</f>
        <v>0</v>
      </c>
      <c r="V216" s="25" t="n">
        <f aca="false">IF(AND($K216="Y",$F216&lt;&gt;"Y",OR($T216="",$T216=Summary!$C$11)),$C216*IF($H216&lt;&gt;"",$H216,$E216)*INDEX(Summary!$C$6:$C$8,MATCH($P216,Summary!$B$6:$B$8,0)),0)</f>
        <v>0</v>
      </c>
      <c r="W216" s="18" t="s">
        <v>62</v>
      </c>
      <c r="X216" s="24"/>
    </row>
    <row r="217" customFormat="false" ht="30" hidden="false" customHeight="true" outlineLevel="0" collapsed="false">
      <c r="A217" s="18" t="s">
        <v>823</v>
      </c>
      <c r="B217" s="19" t="s">
        <v>824</v>
      </c>
      <c r="C217" s="20" t="n">
        <v>1</v>
      </c>
      <c r="D217" s="21" t="n">
        <v>70</v>
      </c>
      <c r="E217" s="21" t="n">
        <v>140</v>
      </c>
      <c r="F217" s="20" t="s">
        <v>101</v>
      </c>
      <c r="G217" s="20" t="s">
        <v>103</v>
      </c>
      <c r="H217" s="22"/>
      <c r="I217" s="23" t="n">
        <f aca="false">IF(AND($K217="Y",$F217&lt;&gt;"Y",OR($T217="",$T217=Summary!$C$11)),$C217*IF($H217&lt;&gt;"",$H217,($D217+$E217)/2)*INDEX(Summary!$C$6:$C$8,MATCH($P217,Summary!$B$6:$B$8,0)),0)</f>
        <v>105</v>
      </c>
      <c r="J217" s="20" t="s">
        <v>102</v>
      </c>
      <c r="K217" s="20" t="s">
        <v>103</v>
      </c>
      <c r="L217" s="24" t="s">
        <v>33</v>
      </c>
      <c r="M217" s="24" t="s">
        <v>822</v>
      </c>
      <c r="N217" s="19" t="s">
        <v>825</v>
      </c>
      <c r="O217" s="18" t="s">
        <v>106</v>
      </c>
      <c r="P217" s="20" t="s">
        <v>6</v>
      </c>
      <c r="Q217" s="18" t="s">
        <v>45</v>
      </c>
      <c r="R217" s="24" t="s">
        <v>316</v>
      </c>
      <c r="S217" s="18" t="s">
        <v>40</v>
      </c>
      <c r="T217" s="18"/>
      <c r="U217" s="25" t="n">
        <f aca="false">IF(AND($K217="Y",$F217&lt;&gt;"Y",OR($T217="",$T217=Summary!$C$11)),$C217*IF($H217&lt;&gt;"",$H217,$D217)*INDEX(Summary!$C$6:$C$8,MATCH($P217,Summary!$B$6:$B$8,0)),0)</f>
        <v>70</v>
      </c>
      <c r="V217" s="25" t="n">
        <f aca="false">IF(AND($K217="Y",$F217&lt;&gt;"Y",OR($T217="",$T217=Summary!$C$11)),$C217*IF($H217&lt;&gt;"",$H217,$E217)*INDEX(Summary!$C$6:$C$8,MATCH($P217,Summary!$B$6:$B$8,0)),0)</f>
        <v>140</v>
      </c>
      <c r="W217" s="18" t="s">
        <v>118</v>
      </c>
      <c r="X217" s="26" t="s">
        <v>826</v>
      </c>
    </row>
    <row r="218" customFormat="false" ht="30" hidden="false" customHeight="true" outlineLevel="0" collapsed="false">
      <c r="A218" s="18" t="s">
        <v>827</v>
      </c>
      <c r="B218" s="19" t="s">
        <v>828</v>
      </c>
      <c r="C218" s="20" t="n">
        <v>1</v>
      </c>
      <c r="D218" s="21" t="n">
        <v>0</v>
      </c>
      <c r="E218" s="21" t="n">
        <v>115</v>
      </c>
      <c r="F218" s="20" t="s">
        <v>101</v>
      </c>
      <c r="G218" s="20" t="s">
        <v>103</v>
      </c>
      <c r="H218" s="22"/>
      <c r="I218" s="23" t="n">
        <f aca="false">IF(AND($K218="Y",$F218&lt;&gt;"Y",OR($T218="",$T218=Summary!$C$11)),$C218*IF($H218&lt;&gt;"",$H218,($D218+$E218)/2)*INDEX(Summary!$C$6:$C$8,MATCH($P218,Summary!$B$6:$B$8,0)),0)</f>
        <v>57.5</v>
      </c>
      <c r="J218" s="20" t="s">
        <v>157</v>
      </c>
      <c r="K218" s="20" t="s">
        <v>103</v>
      </c>
      <c r="L218" s="24" t="s">
        <v>33</v>
      </c>
      <c r="M218" s="24" t="s">
        <v>822</v>
      </c>
      <c r="N218" s="19"/>
      <c r="O218" s="18" t="s">
        <v>140</v>
      </c>
      <c r="P218" s="20" t="s">
        <v>6</v>
      </c>
      <c r="Q218" s="18" t="s">
        <v>45</v>
      </c>
      <c r="R218" s="24" t="s">
        <v>829</v>
      </c>
      <c r="S218" s="18" t="s">
        <v>40</v>
      </c>
      <c r="T218" s="18"/>
      <c r="U218" s="25" t="n">
        <f aca="false">IF(AND($K218="Y",$F218&lt;&gt;"Y",OR($T218="",$T218=Summary!$C$11)),$C218*IF($H218&lt;&gt;"",$H218,$D218)*INDEX(Summary!$C$6:$C$8,MATCH($P218,Summary!$B$6:$B$8,0)),0)</f>
        <v>0</v>
      </c>
      <c r="V218" s="25" t="n">
        <f aca="false">IF(AND($K218="Y",$F218&lt;&gt;"Y",OR($T218="",$T218=Summary!$C$11)),$C218*IF($H218&lt;&gt;"",$H218,$E218)*INDEX(Summary!$C$6:$C$8,MATCH($P218,Summary!$B$6:$B$8,0)),0)</f>
        <v>115</v>
      </c>
      <c r="W218" s="18" t="s">
        <v>118</v>
      </c>
      <c r="X218" s="24"/>
    </row>
    <row r="219" customFormat="false" ht="30" hidden="false" customHeight="true" outlineLevel="0" collapsed="false">
      <c r="A219" s="18" t="s">
        <v>830</v>
      </c>
      <c r="B219" s="19" t="s">
        <v>831</v>
      </c>
      <c r="C219" s="20" t="n">
        <v>1</v>
      </c>
      <c r="D219" s="21" t="n">
        <v>14</v>
      </c>
      <c r="E219" s="21" t="n">
        <v>45</v>
      </c>
      <c r="F219" s="20" t="s">
        <v>101</v>
      </c>
      <c r="G219" s="20" t="s">
        <v>103</v>
      </c>
      <c r="H219" s="22"/>
      <c r="I219" s="23" t="n">
        <f aca="false">IF(AND($K219="Y",$F219&lt;&gt;"Y",OR($T219="",$T219=Summary!$C$11)),$C219*IF($H219&lt;&gt;"",$H219,($D219+$E219)/2)*INDEX(Summary!$C$6:$C$8,MATCH($P219,Summary!$B$6:$B$8,0)),0)</f>
        <v>29.5</v>
      </c>
      <c r="J219" s="20" t="s">
        <v>102</v>
      </c>
      <c r="K219" s="20" t="s">
        <v>103</v>
      </c>
      <c r="L219" s="24" t="s">
        <v>33</v>
      </c>
      <c r="M219" s="24" t="s">
        <v>822</v>
      </c>
      <c r="N219" s="19"/>
      <c r="O219" s="18" t="s">
        <v>106</v>
      </c>
      <c r="P219" s="20" t="s">
        <v>6</v>
      </c>
      <c r="Q219" s="18" t="s">
        <v>45</v>
      </c>
      <c r="R219" s="24" t="s">
        <v>7</v>
      </c>
      <c r="S219" s="18" t="s">
        <v>40</v>
      </c>
      <c r="T219" s="18"/>
      <c r="U219" s="25" t="n">
        <f aca="false">IF(AND($K219="Y",$F219&lt;&gt;"Y",OR($T219="",$T219=Summary!$C$11)),$C219*IF($H219&lt;&gt;"",$H219,$D219)*INDEX(Summary!$C$6:$C$8,MATCH($P219,Summary!$B$6:$B$8,0)),0)</f>
        <v>14</v>
      </c>
      <c r="V219" s="25" t="n">
        <f aca="false">IF(AND($K219="Y",$F219&lt;&gt;"Y",OR($T219="",$T219=Summary!$C$11)),$C219*IF($H219&lt;&gt;"",$H219,$E219)*INDEX(Summary!$C$6:$C$8,MATCH($P219,Summary!$B$6:$B$8,0)),0)</f>
        <v>45</v>
      </c>
      <c r="W219" s="18" t="s">
        <v>118</v>
      </c>
      <c r="X219" s="24"/>
    </row>
    <row r="220" customFormat="false" ht="30" hidden="false" customHeight="true" outlineLevel="0" collapsed="false">
      <c r="A220" s="18" t="s">
        <v>832</v>
      </c>
      <c r="B220" s="19" t="s">
        <v>833</v>
      </c>
      <c r="C220" s="20" t="n">
        <v>1</v>
      </c>
      <c r="D220" s="21" t="n">
        <v>14</v>
      </c>
      <c r="E220" s="21" t="n">
        <v>35</v>
      </c>
      <c r="F220" s="20" t="s">
        <v>101</v>
      </c>
      <c r="G220" s="20" t="s">
        <v>101</v>
      </c>
      <c r="H220" s="22"/>
      <c r="I220" s="23" t="n">
        <f aca="false">IF(AND($K220="Y",$F220&lt;&gt;"Y",OR($T220="",$T220=Summary!$C$11)),$C220*IF($H220&lt;&gt;"",$H220,($D220+$E220)/2)*INDEX(Summary!$C$6:$C$8,MATCH($P220,Summary!$B$6:$B$8,0)),0)</f>
        <v>24.5</v>
      </c>
      <c r="J220" s="20" t="s">
        <v>102</v>
      </c>
      <c r="K220" s="20" t="s">
        <v>103</v>
      </c>
      <c r="L220" s="24" t="s">
        <v>33</v>
      </c>
      <c r="M220" s="24" t="s">
        <v>822</v>
      </c>
      <c r="N220" s="19"/>
      <c r="O220" s="18" t="s">
        <v>140</v>
      </c>
      <c r="P220" s="20" t="s">
        <v>6</v>
      </c>
      <c r="Q220" s="18" t="s">
        <v>44</v>
      </c>
      <c r="R220" s="24" t="s">
        <v>468</v>
      </c>
      <c r="S220" s="18" t="s">
        <v>40</v>
      </c>
      <c r="T220" s="18"/>
      <c r="U220" s="25" t="n">
        <f aca="false">IF(AND($K220="Y",$F220&lt;&gt;"Y",OR($T220="",$T220=Summary!$C$11)),$C220*IF($H220&lt;&gt;"",$H220,$D220)*INDEX(Summary!$C$6:$C$8,MATCH($P220,Summary!$B$6:$B$8,0)),0)</f>
        <v>14</v>
      </c>
      <c r="V220" s="25" t="n">
        <f aca="false">IF(AND($K220="Y",$F220&lt;&gt;"Y",OR($T220="",$T220=Summary!$C$11)),$C220*IF($H220&lt;&gt;"",$H220,$E220)*INDEX(Summary!$C$6:$C$8,MATCH($P220,Summary!$B$6:$B$8,0)),0)</f>
        <v>35</v>
      </c>
      <c r="W220" s="18" t="s">
        <v>118</v>
      </c>
      <c r="X220" s="24"/>
    </row>
    <row r="221" customFormat="false" ht="30" hidden="false" customHeight="true" outlineLevel="0" collapsed="false">
      <c r="A221" s="18" t="s">
        <v>834</v>
      </c>
      <c r="B221" s="19" t="s">
        <v>835</v>
      </c>
      <c r="C221" s="20" t="n">
        <v>1</v>
      </c>
      <c r="D221" s="21" t="n">
        <v>14</v>
      </c>
      <c r="E221" s="21" t="n">
        <v>30</v>
      </c>
      <c r="F221" s="20" t="s">
        <v>101</v>
      </c>
      <c r="G221" s="20" t="s">
        <v>101</v>
      </c>
      <c r="H221" s="22"/>
      <c r="I221" s="23" t="n">
        <f aca="false">IF(AND($K221="Y",$F221&lt;&gt;"Y",OR($T221="",$T221=Summary!$C$11)),$C221*IF($H221&lt;&gt;"",$H221,($D221+$E221)/2)*INDEX(Summary!$C$6:$C$8,MATCH($P221,Summary!$B$6:$B$8,0)),0)</f>
        <v>22</v>
      </c>
      <c r="J221" s="20" t="s">
        <v>102</v>
      </c>
      <c r="K221" s="20" t="s">
        <v>103</v>
      </c>
      <c r="L221" s="24" t="s">
        <v>33</v>
      </c>
      <c r="M221" s="24" t="s">
        <v>822</v>
      </c>
      <c r="N221" s="19"/>
      <c r="O221" s="18" t="s">
        <v>212</v>
      </c>
      <c r="P221" s="20" t="s">
        <v>6</v>
      </c>
      <c r="Q221" s="18" t="s">
        <v>44</v>
      </c>
      <c r="R221" s="24" t="s">
        <v>303</v>
      </c>
      <c r="S221" s="18" t="s">
        <v>40</v>
      </c>
      <c r="T221" s="18"/>
      <c r="U221" s="25" t="n">
        <f aca="false">IF(AND($K221="Y",$F221&lt;&gt;"Y",OR($T221="",$T221=Summary!$C$11)),$C221*IF($H221&lt;&gt;"",$H221,$D221)*INDEX(Summary!$C$6:$C$8,MATCH($P221,Summary!$B$6:$B$8,0)),0)</f>
        <v>14</v>
      </c>
      <c r="V221" s="25" t="n">
        <f aca="false">IF(AND($K221="Y",$F221&lt;&gt;"Y",OR($T221="",$T221=Summary!$C$11)),$C221*IF($H221&lt;&gt;"",$H221,$E221)*INDEX(Summary!$C$6:$C$8,MATCH($P221,Summary!$B$6:$B$8,0)),0)</f>
        <v>30</v>
      </c>
      <c r="W221" s="18" t="s">
        <v>118</v>
      </c>
      <c r="X221" s="24"/>
    </row>
    <row r="222" customFormat="false" ht="30" hidden="false" customHeight="true" outlineLevel="0" collapsed="false">
      <c r="A222" s="18" t="s">
        <v>836</v>
      </c>
      <c r="B222" s="19" t="s">
        <v>837</v>
      </c>
      <c r="C222" s="20" t="n">
        <v>1</v>
      </c>
      <c r="D222" s="21" t="n">
        <v>15</v>
      </c>
      <c r="E222" s="21" t="n">
        <v>30</v>
      </c>
      <c r="F222" s="20" t="s">
        <v>101</v>
      </c>
      <c r="G222" s="20" t="s">
        <v>101</v>
      </c>
      <c r="H222" s="22"/>
      <c r="I222" s="23" t="n">
        <f aca="false">IF(AND($K222="Y",$F222&lt;&gt;"Y",OR($T222="",$T222=Summary!$C$11)),$C222*IF($H222&lt;&gt;"",$H222,($D222+$E222)/2)*INDEX(Summary!$C$6:$C$8,MATCH($P222,Summary!$B$6:$B$8,0)),0)</f>
        <v>22.5</v>
      </c>
      <c r="J222" s="20" t="s">
        <v>102</v>
      </c>
      <c r="K222" s="20" t="s">
        <v>103</v>
      </c>
      <c r="L222" s="24" t="s">
        <v>33</v>
      </c>
      <c r="M222" s="24" t="s">
        <v>822</v>
      </c>
      <c r="N222" s="19"/>
      <c r="O222" s="18" t="s">
        <v>838</v>
      </c>
      <c r="P222" s="20" t="s">
        <v>6</v>
      </c>
      <c r="Q222" s="18" t="s">
        <v>44</v>
      </c>
      <c r="R222" s="24" t="s">
        <v>461</v>
      </c>
      <c r="S222" s="18" t="s">
        <v>40</v>
      </c>
      <c r="T222" s="18"/>
      <c r="U222" s="25" t="n">
        <f aca="false">IF(AND($K222="Y",$F222&lt;&gt;"Y",OR($T222="",$T222=Summary!$C$11)),$C222*IF($H222&lt;&gt;"",$H222,$D222)*INDEX(Summary!$C$6:$C$8,MATCH($P222,Summary!$B$6:$B$8,0)),0)</f>
        <v>15</v>
      </c>
      <c r="V222" s="25" t="n">
        <f aca="false">IF(AND($K222="Y",$F222&lt;&gt;"Y",OR($T222="",$T222=Summary!$C$11)),$C222*IF($H222&lt;&gt;"",$H222,$E222)*INDEX(Summary!$C$6:$C$8,MATCH($P222,Summary!$B$6:$B$8,0)),0)</f>
        <v>30</v>
      </c>
      <c r="W222" s="18" t="s">
        <v>118</v>
      </c>
      <c r="X222" s="24"/>
    </row>
    <row r="223" customFormat="false" ht="30" hidden="false" customHeight="true" outlineLevel="0" collapsed="false">
      <c r="A223" s="18" t="s">
        <v>839</v>
      </c>
      <c r="B223" s="19" t="s">
        <v>840</v>
      </c>
      <c r="C223" s="20" t="n">
        <v>1</v>
      </c>
      <c r="D223" s="21" t="n">
        <v>0</v>
      </c>
      <c r="E223" s="21" t="n">
        <v>45</v>
      </c>
      <c r="F223" s="20" t="s">
        <v>101</v>
      </c>
      <c r="G223" s="20" t="s">
        <v>103</v>
      </c>
      <c r="H223" s="22"/>
      <c r="I223" s="23" t="n">
        <f aca="false">IF(AND($K223="Y",$F223&lt;&gt;"Y",OR($T223="",$T223=Summary!$C$11)),$C223*IF($H223&lt;&gt;"",$H223,($D223+$E223)/2)*INDEX(Summary!$C$6:$C$8,MATCH($P223,Summary!$B$6:$B$8,0)),0)</f>
        <v>22.5</v>
      </c>
      <c r="J223" s="20" t="s">
        <v>157</v>
      </c>
      <c r="K223" s="20" t="s">
        <v>103</v>
      </c>
      <c r="L223" s="24" t="s">
        <v>33</v>
      </c>
      <c r="M223" s="24" t="s">
        <v>822</v>
      </c>
      <c r="N223" s="19"/>
      <c r="O223" s="18" t="s">
        <v>106</v>
      </c>
      <c r="P223" s="20" t="s">
        <v>6</v>
      </c>
      <c r="Q223" s="18" t="s">
        <v>45</v>
      </c>
      <c r="R223" s="24" t="s">
        <v>7</v>
      </c>
      <c r="S223" s="18" t="s">
        <v>40</v>
      </c>
      <c r="T223" s="18"/>
      <c r="U223" s="25" t="n">
        <f aca="false">IF(AND($K223="Y",$F223&lt;&gt;"Y",OR($T223="",$T223=Summary!$C$11)),$C223*IF($H223&lt;&gt;"",$H223,$D223)*INDEX(Summary!$C$6:$C$8,MATCH($P223,Summary!$B$6:$B$8,0)),0)</f>
        <v>0</v>
      </c>
      <c r="V223" s="25" t="n">
        <f aca="false">IF(AND($K223="Y",$F223&lt;&gt;"Y",OR($T223="",$T223=Summary!$C$11)),$C223*IF($H223&lt;&gt;"",$H223,$E223)*INDEX(Summary!$C$6:$C$8,MATCH($P223,Summary!$B$6:$B$8,0)),0)</f>
        <v>45</v>
      </c>
      <c r="W223" s="18" t="s">
        <v>118</v>
      </c>
      <c r="X223" s="24"/>
    </row>
    <row r="224" customFormat="false" ht="30" hidden="false" customHeight="true" outlineLevel="0" collapsed="false">
      <c r="A224" s="18" t="s">
        <v>841</v>
      </c>
      <c r="B224" s="19" t="s">
        <v>842</v>
      </c>
      <c r="C224" s="20" t="n">
        <v>1</v>
      </c>
      <c r="D224" s="21" t="n">
        <v>1720</v>
      </c>
      <c r="E224" s="21" t="n">
        <v>1720</v>
      </c>
      <c r="F224" s="20" t="s">
        <v>101</v>
      </c>
      <c r="G224" s="20" t="s">
        <v>101</v>
      </c>
      <c r="H224" s="22"/>
      <c r="I224" s="23" t="n">
        <f aca="false">IF(AND($K224="Y",$F224&lt;&gt;"Y",OR($T224="",$T224=Summary!$C$11)),$C224*IF($H224&lt;&gt;"",$H224,($D224+$E224)/2)*INDEX(Summary!$C$6:$C$8,MATCH($P224,Summary!$B$6:$B$8,0)),0)</f>
        <v>0</v>
      </c>
      <c r="J224" s="20" t="s">
        <v>207</v>
      </c>
      <c r="K224" s="20" t="s">
        <v>101</v>
      </c>
      <c r="L224" s="24" t="s">
        <v>33</v>
      </c>
      <c r="M224" s="24" t="s">
        <v>822</v>
      </c>
      <c r="N224" s="19" t="s">
        <v>843</v>
      </c>
      <c r="O224" s="18" t="s">
        <v>106</v>
      </c>
      <c r="P224" s="20" t="s">
        <v>6</v>
      </c>
      <c r="Q224" s="18" t="s">
        <v>44</v>
      </c>
      <c r="R224" s="24" t="s">
        <v>556</v>
      </c>
      <c r="S224" s="18" t="s">
        <v>40</v>
      </c>
      <c r="T224" s="18"/>
      <c r="U224" s="25" t="n">
        <f aca="false">IF(AND($K224="Y",$F224&lt;&gt;"Y",OR($T224="",$T224=Summary!$C$11)),$C224*IF($H224&lt;&gt;"",$H224,$D224)*INDEX(Summary!$C$6:$C$8,MATCH($P224,Summary!$B$6:$B$8,0)),0)</f>
        <v>0</v>
      </c>
      <c r="V224" s="25" t="n">
        <f aca="false">IF(AND($K224="Y",$F224&lt;&gt;"Y",OR($T224="",$T224=Summary!$C$11)),$C224*IF($H224&lt;&gt;"",$H224,$E224)*INDEX(Summary!$C$6:$C$8,MATCH($P224,Summary!$B$6:$B$8,0)),0)</f>
        <v>0</v>
      </c>
      <c r="W224" s="18" t="s">
        <v>62</v>
      </c>
      <c r="X224" s="26" t="s">
        <v>844</v>
      </c>
    </row>
    <row r="225" customFormat="false" ht="30" hidden="false" customHeight="true" outlineLevel="0" collapsed="false">
      <c r="A225" s="18" t="s">
        <v>845</v>
      </c>
      <c r="B225" s="19" t="s">
        <v>846</v>
      </c>
      <c r="C225" s="20" t="n">
        <v>1</v>
      </c>
      <c r="D225" s="21" t="n">
        <v>355</v>
      </c>
      <c r="E225" s="21" t="n">
        <v>570</v>
      </c>
      <c r="F225" s="20" t="s">
        <v>101</v>
      </c>
      <c r="G225" s="20" t="s">
        <v>101</v>
      </c>
      <c r="H225" s="22"/>
      <c r="I225" s="23" t="n">
        <f aca="false">IF(AND($K225="Y",$F225&lt;&gt;"Y",OR($T225="",$T225=Summary!$C$11)),$C225*IF($H225&lt;&gt;"",$H225,($D225+$E225)/2)*INDEX(Summary!$C$6:$C$8,MATCH($P225,Summary!$B$6:$B$8,0)),0)</f>
        <v>462.5</v>
      </c>
      <c r="J225" s="20" t="s">
        <v>102</v>
      </c>
      <c r="K225" s="20" t="s">
        <v>103</v>
      </c>
      <c r="L225" s="24" t="s">
        <v>33</v>
      </c>
      <c r="M225" s="24" t="s">
        <v>847</v>
      </c>
      <c r="N225" s="19" t="s">
        <v>848</v>
      </c>
      <c r="O225" s="18" t="s">
        <v>160</v>
      </c>
      <c r="P225" s="20" t="s">
        <v>6</v>
      </c>
      <c r="Q225" s="18" t="s">
        <v>44</v>
      </c>
      <c r="R225" s="24" t="s">
        <v>849</v>
      </c>
      <c r="S225" s="18" t="s">
        <v>41</v>
      </c>
      <c r="T225" s="18"/>
      <c r="U225" s="25" t="n">
        <f aca="false">IF(AND($K225="Y",$F225&lt;&gt;"Y",OR($T225="",$T225=Summary!$C$11)),$C225*IF($H225&lt;&gt;"",$H225,$D225)*INDEX(Summary!$C$6:$C$8,MATCH($P225,Summary!$B$6:$B$8,0)),0)</f>
        <v>355</v>
      </c>
      <c r="V225" s="25" t="n">
        <f aca="false">IF(AND($K225="Y",$F225&lt;&gt;"Y",OR($T225="",$T225=Summary!$C$11)),$C225*IF($H225&lt;&gt;"",$H225,$E225)*INDEX(Summary!$C$6:$C$8,MATCH($P225,Summary!$B$6:$B$8,0)),0)</f>
        <v>570</v>
      </c>
      <c r="W225" s="18" t="s">
        <v>62</v>
      </c>
      <c r="X225" s="24"/>
    </row>
    <row r="226" customFormat="false" ht="30" hidden="false" customHeight="true" outlineLevel="0" collapsed="false">
      <c r="A226" s="18" t="s">
        <v>850</v>
      </c>
      <c r="B226" s="19" t="s">
        <v>851</v>
      </c>
      <c r="C226" s="20" t="n">
        <v>1</v>
      </c>
      <c r="D226" s="21" t="n">
        <v>20</v>
      </c>
      <c r="E226" s="21" t="n">
        <v>50</v>
      </c>
      <c r="F226" s="20" t="s">
        <v>101</v>
      </c>
      <c r="G226" s="20" t="s">
        <v>101</v>
      </c>
      <c r="H226" s="22"/>
      <c r="I226" s="23" t="n">
        <f aca="false">IF(AND($K226="Y",$F226&lt;&gt;"Y",OR($T226="",$T226=Summary!$C$11)),$C226*IF($H226&lt;&gt;"",$H226,($D226+$E226)/2)*INDEX(Summary!$C$6:$C$8,MATCH($P226,Summary!$B$6:$B$8,0)),0)</f>
        <v>35</v>
      </c>
      <c r="J226" s="20" t="s">
        <v>102</v>
      </c>
      <c r="K226" s="20" t="s">
        <v>103</v>
      </c>
      <c r="L226" s="24" t="s">
        <v>34</v>
      </c>
      <c r="M226" s="24" t="s">
        <v>852</v>
      </c>
      <c r="N226" s="19" t="s">
        <v>853</v>
      </c>
      <c r="O226" s="18" t="s">
        <v>212</v>
      </c>
      <c r="P226" s="20" t="s">
        <v>6</v>
      </c>
      <c r="Q226" s="18" t="s">
        <v>44</v>
      </c>
      <c r="R226" s="24" t="s">
        <v>150</v>
      </c>
      <c r="S226" s="18" t="s">
        <v>40</v>
      </c>
      <c r="T226" s="18"/>
      <c r="U226" s="25" t="n">
        <f aca="false">IF(AND($K226="Y",$F226&lt;&gt;"Y",OR($T226="",$T226=Summary!$C$11)),$C226*IF($H226&lt;&gt;"",$H226,$D226)*INDEX(Summary!$C$6:$C$8,MATCH($P226,Summary!$B$6:$B$8,0)),0)</f>
        <v>20</v>
      </c>
      <c r="V226" s="25" t="n">
        <f aca="false">IF(AND($K226="Y",$F226&lt;&gt;"Y",OR($T226="",$T226=Summary!$C$11)),$C226*IF($H226&lt;&gt;"",$H226,$E226)*INDEX(Summary!$C$6:$C$8,MATCH($P226,Summary!$B$6:$B$8,0)),0)</f>
        <v>50</v>
      </c>
      <c r="W226" s="18" t="s">
        <v>118</v>
      </c>
      <c r="X226" s="24"/>
    </row>
    <row r="227" customFormat="false" ht="30" hidden="false" customHeight="true" outlineLevel="0" collapsed="false">
      <c r="A227" s="18" t="s">
        <v>854</v>
      </c>
      <c r="B227" s="19" t="s">
        <v>855</v>
      </c>
      <c r="C227" s="20" t="n">
        <v>1</v>
      </c>
      <c r="D227" s="21" t="n">
        <v>40</v>
      </c>
      <c r="E227" s="21" t="n">
        <v>80</v>
      </c>
      <c r="F227" s="20" t="s">
        <v>101</v>
      </c>
      <c r="G227" s="20" t="s">
        <v>101</v>
      </c>
      <c r="H227" s="22"/>
      <c r="I227" s="23" t="n">
        <f aca="false">IF(AND($K227="Y",$F227&lt;&gt;"Y",OR($T227="",$T227=Summary!$C$11)),$C227*IF($H227&lt;&gt;"",$H227,($D227+$E227)/2)*INDEX(Summary!$C$6:$C$8,MATCH($P227,Summary!$B$6:$B$8,0)),0)</f>
        <v>60</v>
      </c>
      <c r="J227" s="20" t="s">
        <v>102</v>
      </c>
      <c r="K227" s="20" t="s">
        <v>103</v>
      </c>
      <c r="L227" s="24" t="s">
        <v>34</v>
      </c>
      <c r="M227" s="24" t="s">
        <v>856</v>
      </c>
      <c r="N227" s="19"/>
      <c r="O227" s="18" t="s">
        <v>160</v>
      </c>
      <c r="P227" s="20" t="s">
        <v>6</v>
      </c>
      <c r="Q227" s="18" t="s">
        <v>44</v>
      </c>
      <c r="R227" s="24" t="s">
        <v>857</v>
      </c>
      <c r="S227" s="18" t="s">
        <v>40</v>
      </c>
      <c r="T227" s="18"/>
      <c r="U227" s="25" t="n">
        <f aca="false">IF(AND($K227="Y",$F227&lt;&gt;"Y",OR($T227="",$T227=Summary!$C$11)),$C227*IF($H227&lt;&gt;"",$H227,$D227)*INDEX(Summary!$C$6:$C$8,MATCH($P227,Summary!$B$6:$B$8,0)),0)</f>
        <v>40</v>
      </c>
      <c r="V227" s="25" t="n">
        <f aca="false">IF(AND($K227="Y",$F227&lt;&gt;"Y",OR($T227="",$T227=Summary!$C$11)),$C227*IF($H227&lt;&gt;"",$H227,$E227)*INDEX(Summary!$C$6:$C$8,MATCH($P227,Summary!$B$6:$B$8,0)),0)</f>
        <v>80</v>
      </c>
      <c r="W227" s="18" t="s">
        <v>118</v>
      </c>
      <c r="X227" s="24"/>
    </row>
    <row r="228" customFormat="false" ht="30" hidden="false" customHeight="true" outlineLevel="0" collapsed="false">
      <c r="A228" s="18" t="s">
        <v>858</v>
      </c>
      <c r="B228" s="19" t="s">
        <v>859</v>
      </c>
      <c r="C228" s="20" t="n">
        <v>1</v>
      </c>
      <c r="D228" s="21" t="n">
        <v>25</v>
      </c>
      <c r="E228" s="21" t="n">
        <v>50</v>
      </c>
      <c r="F228" s="20" t="s">
        <v>101</v>
      </c>
      <c r="G228" s="20" t="s">
        <v>101</v>
      </c>
      <c r="H228" s="22"/>
      <c r="I228" s="23" t="n">
        <f aca="false">IF(AND($K228="Y",$F228&lt;&gt;"Y",OR($T228="",$T228=Summary!$C$11)),$C228*IF($H228&lt;&gt;"",$H228,($D228+$E228)/2)*INDEX(Summary!$C$6:$C$8,MATCH($P228,Summary!$B$6:$B$8,0)),0)</f>
        <v>37.5</v>
      </c>
      <c r="J228" s="20" t="s">
        <v>102</v>
      </c>
      <c r="K228" s="20" t="s">
        <v>103</v>
      </c>
      <c r="L228" s="24" t="s">
        <v>34</v>
      </c>
      <c r="M228" s="24" t="s">
        <v>856</v>
      </c>
      <c r="N228" s="19"/>
      <c r="O228" s="18" t="s">
        <v>160</v>
      </c>
      <c r="P228" s="20" t="s">
        <v>6</v>
      </c>
      <c r="Q228" s="18" t="s">
        <v>44</v>
      </c>
      <c r="R228" s="24" t="s">
        <v>860</v>
      </c>
      <c r="S228" s="18" t="s">
        <v>40</v>
      </c>
      <c r="T228" s="18"/>
      <c r="U228" s="25" t="n">
        <f aca="false">IF(AND($K228="Y",$F228&lt;&gt;"Y",OR($T228="",$T228=Summary!$C$11)),$C228*IF($H228&lt;&gt;"",$H228,$D228)*INDEX(Summary!$C$6:$C$8,MATCH($P228,Summary!$B$6:$B$8,0)),0)</f>
        <v>25</v>
      </c>
      <c r="V228" s="25" t="n">
        <f aca="false">IF(AND($K228="Y",$F228&lt;&gt;"Y",OR($T228="",$T228=Summary!$C$11)),$C228*IF($H228&lt;&gt;"",$H228,$E228)*INDEX(Summary!$C$6:$C$8,MATCH($P228,Summary!$B$6:$B$8,0)),0)</f>
        <v>50</v>
      </c>
      <c r="W228" s="18" t="s">
        <v>118</v>
      </c>
      <c r="X228" s="24"/>
    </row>
    <row r="229" customFormat="false" ht="30" hidden="false" customHeight="true" outlineLevel="0" collapsed="false">
      <c r="A229" s="18" t="s">
        <v>861</v>
      </c>
      <c r="B229" s="19" t="s">
        <v>862</v>
      </c>
      <c r="C229" s="20" t="n">
        <v>1</v>
      </c>
      <c r="D229" s="21" t="n">
        <v>40</v>
      </c>
      <c r="E229" s="21" t="n">
        <v>70</v>
      </c>
      <c r="F229" s="20" t="s">
        <v>101</v>
      </c>
      <c r="G229" s="20" t="s">
        <v>101</v>
      </c>
      <c r="H229" s="22"/>
      <c r="I229" s="23" t="n">
        <f aca="false">IF(AND($K229="Y",$F229&lt;&gt;"Y",OR($T229="",$T229=Summary!$C$11)),$C229*IF($H229&lt;&gt;"",$H229,($D229+$E229)/2)*INDEX(Summary!$C$6:$C$8,MATCH($P229,Summary!$B$6:$B$8,0)),0)</f>
        <v>55</v>
      </c>
      <c r="J229" s="20" t="s">
        <v>102</v>
      </c>
      <c r="K229" s="20" t="s">
        <v>103</v>
      </c>
      <c r="L229" s="24" t="s">
        <v>34</v>
      </c>
      <c r="M229" s="24" t="s">
        <v>856</v>
      </c>
      <c r="N229" s="19"/>
      <c r="O229" s="18" t="s">
        <v>212</v>
      </c>
      <c r="P229" s="20" t="s">
        <v>6</v>
      </c>
      <c r="Q229" s="18" t="s">
        <v>44</v>
      </c>
      <c r="R229" s="24" t="s">
        <v>213</v>
      </c>
      <c r="S229" s="18" t="s">
        <v>40</v>
      </c>
      <c r="T229" s="18"/>
      <c r="U229" s="25" t="n">
        <f aca="false">IF(AND($K229="Y",$F229&lt;&gt;"Y",OR($T229="",$T229=Summary!$C$11)),$C229*IF($H229&lt;&gt;"",$H229,$D229)*INDEX(Summary!$C$6:$C$8,MATCH($P229,Summary!$B$6:$B$8,0)),0)</f>
        <v>40</v>
      </c>
      <c r="V229" s="25" t="n">
        <f aca="false">IF(AND($K229="Y",$F229&lt;&gt;"Y",OR($T229="",$T229=Summary!$C$11)),$C229*IF($H229&lt;&gt;"",$H229,$E229)*INDEX(Summary!$C$6:$C$8,MATCH($P229,Summary!$B$6:$B$8,0)),0)</f>
        <v>70</v>
      </c>
      <c r="W229" s="18" t="s">
        <v>118</v>
      </c>
      <c r="X229" s="24"/>
    </row>
    <row r="230" customFormat="false" ht="30" hidden="false" customHeight="true" outlineLevel="0" collapsed="false">
      <c r="A230" s="18" t="s">
        <v>863</v>
      </c>
      <c r="B230" s="19" t="s">
        <v>864</v>
      </c>
      <c r="C230" s="20" t="n">
        <v>1</v>
      </c>
      <c r="D230" s="21" t="n">
        <v>30</v>
      </c>
      <c r="E230" s="21" t="n">
        <v>55</v>
      </c>
      <c r="F230" s="20" t="s">
        <v>101</v>
      </c>
      <c r="G230" s="20" t="s">
        <v>101</v>
      </c>
      <c r="H230" s="22"/>
      <c r="I230" s="23" t="n">
        <f aca="false">IF(AND($K230="Y",$F230&lt;&gt;"Y",OR($T230="",$T230=Summary!$C$11)),$C230*IF($H230&lt;&gt;"",$H230,($D230+$E230)/2)*INDEX(Summary!$C$6:$C$8,MATCH($P230,Summary!$B$6:$B$8,0)),0)</f>
        <v>42.5</v>
      </c>
      <c r="J230" s="20" t="s">
        <v>102</v>
      </c>
      <c r="K230" s="20" t="s">
        <v>103</v>
      </c>
      <c r="L230" s="24" t="s">
        <v>34</v>
      </c>
      <c r="M230" s="24" t="s">
        <v>856</v>
      </c>
      <c r="N230" s="19"/>
      <c r="O230" s="18" t="s">
        <v>212</v>
      </c>
      <c r="P230" s="20" t="s">
        <v>6</v>
      </c>
      <c r="Q230" s="18" t="s">
        <v>44</v>
      </c>
      <c r="R230" s="24" t="s">
        <v>150</v>
      </c>
      <c r="S230" s="18" t="s">
        <v>40</v>
      </c>
      <c r="T230" s="18"/>
      <c r="U230" s="25" t="n">
        <f aca="false">IF(AND($K230="Y",$F230&lt;&gt;"Y",OR($T230="",$T230=Summary!$C$11)),$C230*IF($H230&lt;&gt;"",$H230,$D230)*INDEX(Summary!$C$6:$C$8,MATCH($P230,Summary!$B$6:$B$8,0)),0)</f>
        <v>30</v>
      </c>
      <c r="V230" s="25" t="n">
        <f aca="false">IF(AND($K230="Y",$F230&lt;&gt;"Y",OR($T230="",$T230=Summary!$C$11)),$C230*IF($H230&lt;&gt;"",$H230,$E230)*INDEX(Summary!$C$6:$C$8,MATCH($P230,Summary!$B$6:$B$8,0)),0)</f>
        <v>55</v>
      </c>
      <c r="W230" s="18" t="s">
        <v>118</v>
      </c>
      <c r="X230" s="24"/>
    </row>
    <row r="231" customFormat="false" ht="30" hidden="false" customHeight="true" outlineLevel="0" collapsed="false">
      <c r="A231" s="18" t="s">
        <v>865</v>
      </c>
      <c r="B231" s="19" t="s">
        <v>866</v>
      </c>
      <c r="C231" s="20" t="n">
        <v>2</v>
      </c>
      <c r="D231" s="21" t="n">
        <v>25</v>
      </c>
      <c r="E231" s="21" t="n">
        <v>40</v>
      </c>
      <c r="F231" s="20" t="s">
        <v>101</v>
      </c>
      <c r="G231" s="20" t="s">
        <v>101</v>
      </c>
      <c r="H231" s="22"/>
      <c r="I231" s="23" t="n">
        <f aca="false">IF(AND($K231="Y",$F231&lt;&gt;"Y",OR($T231="",$T231=Summary!$C$11)),$C231*IF($H231&lt;&gt;"",$H231,($D231+$E231)/2)*INDEX(Summary!$C$6:$C$8,MATCH($P231,Summary!$B$6:$B$8,0)),0)</f>
        <v>65</v>
      </c>
      <c r="J231" s="20" t="s">
        <v>102</v>
      </c>
      <c r="K231" s="20" t="s">
        <v>103</v>
      </c>
      <c r="L231" s="24" t="s">
        <v>34</v>
      </c>
      <c r="M231" s="24" t="s">
        <v>867</v>
      </c>
      <c r="N231" s="19"/>
      <c r="O231" s="18" t="s">
        <v>868</v>
      </c>
      <c r="P231" s="20" t="s">
        <v>6</v>
      </c>
      <c r="Q231" s="18" t="s">
        <v>44</v>
      </c>
      <c r="R231" s="24" t="s">
        <v>7</v>
      </c>
      <c r="S231" s="18" t="s">
        <v>40</v>
      </c>
      <c r="T231" s="18"/>
      <c r="U231" s="25" t="n">
        <f aca="false">IF(AND($K231="Y",$F231&lt;&gt;"Y",OR($T231="",$T231=Summary!$C$11)),$C231*IF($H231&lt;&gt;"",$H231,$D231)*INDEX(Summary!$C$6:$C$8,MATCH($P231,Summary!$B$6:$B$8,0)),0)</f>
        <v>50</v>
      </c>
      <c r="V231" s="25" t="n">
        <f aca="false">IF(AND($K231="Y",$F231&lt;&gt;"Y",OR($T231="",$T231=Summary!$C$11)),$C231*IF($H231&lt;&gt;"",$H231,$E231)*INDEX(Summary!$C$6:$C$8,MATCH($P231,Summary!$B$6:$B$8,0)),0)</f>
        <v>80</v>
      </c>
      <c r="W231" s="18" t="s">
        <v>118</v>
      </c>
      <c r="X231" s="24"/>
    </row>
    <row r="232" customFormat="false" ht="30" hidden="false" customHeight="true" outlineLevel="0" collapsed="false">
      <c r="A232" s="18" t="s">
        <v>869</v>
      </c>
      <c r="B232" s="19" t="s">
        <v>870</v>
      </c>
      <c r="C232" s="20" t="n">
        <v>1</v>
      </c>
      <c r="D232" s="21" t="n">
        <v>200</v>
      </c>
      <c r="E232" s="21" t="n">
        <v>500</v>
      </c>
      <c r="F232" s="20" t="s">
        <v>101</v>
      </c>
      <c r="G232" s="20" t="s">
        <v>101</v>
      </c>
      <c r="H232" s="22"/>
      <c r="I232" s="23" t="n">
        <f aca="false">IF(AND($K232="Y",$F232&lt;&gt;"Y",OR($T232="",$T232=Summary!$C$11)),$C232*IF($H232&lt;&gt;"",$H232,($D232+$E232)/2)*INDEX(Summary!$C$6:$C$8,MATCH($P232,Summary!$B$6:$B$8,0)),0)</f>
        <v>350</v>
      </c>
      <c r="J232" s="20" t="s">
        <v>102</v>
      </c>
      <c r="K232" s="20" t="s">
        <v>103</v>
      </c>
      <c r="L232" s="24" t="s">
        <v>34</v>
      </c>
      <c r="M232" s="24" t="s">
        <v>871</v>
      </c>
      <c r="N232" s="19"/>
      <c r="O232" s="18" t="s">
        <v>212</v>
      </c>
      <c r="P232" s="20" t="s">
        <v>6</v>
      </c>
      <c r="Q232" s="18" t="s">
        <v>44</v>
      </c>
      <c r="R232" s="24" t="s">
        <v>7</v>
      </c>
      <c r="S232" s="18" t="s">
        <v>40</v>
      </c>
      <c r="T232" s="18"/>
      <c r="U232" s="25" t="n">
        <f aca="false">IF(AND($K232="Y",$F232&lt;&gt;"Y",OR($T232="",$T232=Summary!$C$11)),$C232*IF($H232&lt;&gt;"",$H232,$D232)*INDEX(Summary!$C$6:$C$8,MATCH($P232,Summary!$B$6:$B$8,0)),0)</f>
        <v>200</v>
      </c>
      <c r="V232" s="25" t="n">
        <f aca="false">IF(AND($K232="Y",$F232&lt;&gt;"Y",OR($T232="",$T232=Summary!$C$11)),$C232*IF($H232&lt;&gt;"",$H232,$E232)*INDEX(Summary!$C$6:$C$8,MATCH($P232,Summary!$B$6:$B$8,0)),0)</f>
        <v>500</v>
      </c>
      <c r="W232" s="18" t="s">
        <v>62</v>
      </c>
      <c r="X232" s="24"/>
    </row>
    <row r="233" customFormat="false" ht="30" hidden="false" customHeight="true" outlineLevel="0" collapsed="false">
      <c r="A233" s="18" t="s">
        <v>872</v>
      </c>
      <c r="B233" s="19" t="s">
        <v>873</v>
      </c>
      <c r="C233" s="20" t="n">
        <v>1</v>
      </c>
      <c r="D233" s="21" t="n">
        <v>120</v>
      </c>
      <c r="E233" s="21" t="n">
        <v>250</v>
      </c>
      <c r="F233" s="20" t="s">
        <v>101</v>
      </c>
      <c r="G233" s="20" t="s">
        <v>103</v>
      </c>
      <c r="H233" s="22"/>
      <c r="I233" s="23" t="n">
        <f aca="false">IF(AND($K233="Y",$F233&lt;&gt;"Y",OR($T233="",$T233=Summary!$C$11)),$C233*IF($H233&lt;&gt;"",$H233,($D233+$E233)/2)*INDEX(Summary!$C$6:$C$8,MATCH($P233,Summary!$B$6:$B$8,0)),0)</f>
        <v>185</v>
      </c>
      <c r="J233" s="20" t="s">
        <v>102</v>
      </c>
      <c r="K233" s="20" t="s">
        <v>103</v>
      </c>
      <c r="L233" s="24" t="s">
        <v>35</v>
      </c>
      <c r="M233" s="24" t="s">
        <v>874</v>
      </c>
      <c r="N233" s="19"/>
      <c r="O233" s="18" t="s">
        <v>212</v>
      </c>
      <c r="P233" s="20" t="s">
        <v>6</v>
      </c>
      <c r="Q233" s="18" t="s">
        <v>45</v>
      </c>
      <c r="R233" s="24" t="s">
        <v>875</v>
      </c>
      <c r="S233" s="18" t="s">
        <v>39</v>
      </c>
      <c r="T233" s="18"/>
      <c r="U233" s="25" t="n">
        <f aca="false">IF(AND($K233="Y",$F233&lt;&gt;"Y",OR($T233="",$T233=Summary!$C$11)),$C233*IF($H233&lt;&gt;"",$H233,$D233)*INDEX(Summary!$C$6:$C$8,MATCH($P233,Summary!$B$6:$B$8,0)),0)</f>
        <v>120</v>
      </c>
      <c r="V233" s="25" t="n">
        <f aca="false">IF(AND($K233="Y",$F233&lt;&gt;"Y",OR($T233="",$T233=Summary!$C$11)),$C233*IF($H233&lt;&gt;"",$H233,$E233)*INDEX(Summary!$C$6:$C$8,MATCH($P233,Summary!$B$6:$B$8,0)),0)</f>
        <v>250</v>
      </c>
      <c r="W233" s="18" t="s">
        <v>118</v>
      </c>
      <c r="X233" s="24"/>
    </row>
    <row r="234" customFormat="false" ht="30" hidden="false" customHeight="true" outlineLevel="0" collapsed="false">
      <c r="A234" s="18" t="s">
        <v>876</v>
      </c>
      <c r="B234" s="19" t="s">
        <v>877</v>
      </c>
      <c r="C234" s="20" t="n">
        <v>1</v>
      </c>
      <c r="D234" s="21" t="n">
        <v>0</v>
      </c>
      <c r="E234" s="21" t="n">
        <v>100</v>
      </c>
      <c r="F234" s="20" t="s">
        <v>101</v>
      </c>
      <c r="G234" s="20" t="s">
        <v>101</v>
      </c>
      <c r="H234" s="22"/>
      <c r="I234" s="23" t="n">
        <f aca="false">IF(AND($K234="Y",$F234&lt;&gt;"Y",OR($T234="",$T234=Summary!$C$11)),$C234*IF($H234&lt;&gt;"",$H234,($D234+$E234)/2)*INDEX(Summary!$C$6:$C$8,MATCH($P234,Summary!$B$6:$B$8,0)),0)</f>
        <v>50</v>
      </c>
      <c r="J234" s="20" t="s">
        <v>157</v>
      </c>
      <c r="K234" s="20" t="s">
        <v>103</v>
      </c>
      <c r="L234" s="24" t="s">
        <v>35</v>
      </c>
      <c r="M234" s="24" t="s">
        <v>874</v>
      </c>
      <c r="N234" s="19" t="s">
        <v>878</v>
      </c>
      <c r="O234" s="18" t="s">
        <v>212</v>
      </c>
      <c r="P234" s="20" t="s">
        <v>6</v>
      </c>
      <c r="Q234" s="18" t="s">
        <v>44</v>
      </c>
      <c r="R234" s="24" t="s">
        <v>123</v>
      </c>
      <c r="S234" s="18" t="s">
        <v>39</v>
      </c>
      <c r="T234" s="18"/>
      <c r="U234" s="25" t="n">
        <f aca="false">IF(AND($K234="Y",$F234&lt;&gt;"Y",OR($T234="",$T234=Summary!$C$11)),$C234*IF($H234&lt;&gt;"",$H234,$D234)*INDEX(Summary!$C$6:$C$8,MATCH($P234,Summary!$B$6:$B$8,0)),0)</f>
        <v>0</v>
      </c>
      <c r="V234" s="25" t="n">
        <f aca="false">IF(AND($K234="Y",$F234&lt;&gt;"Y",OR($T234="",$T234=Summary!$C$11)),$C234*IF($H234&lt;&gt;"",$H234,$E234)*INDEX(Summary!$C$6:$C$8,MATCH($P234,Summary!$B$6:$B$8,0)),0)</f>
        <v>100</v>
      </c>
      <c r="W234" s="18" t="s">
        <v>118</v>
      </c>
      <c r="X234" s="24"/>
    </row>
    <row r="235" customFormat="false" ht="30" hidden="false" customHeight="true" outlineLevel="0" collapsed="false">
      <c r="A235" s="18" t="s">
        <v>879</v>
      </c>
      <c r="B235" s="19" t="s">
        <v>880</v>
      </c>
      <c r="C235" s="20" t="n">
        <v>1</v>
      </c>
      <c r="D235" s="21" t="n">
        <v>60</v>
      </c>
      <c r="E235" s="21" t="n">
        <v>120</v>
      </c>
      <c r="F235" s="20" t="s">
        <v>101</v>
      </c>
      <c r="G235" s="20" t="s">
        <v>101</v>
      </c>
      <c r="H235" s="22"/>
      <c r="I235" s="23" t="n">
        <f aca="false">IF(AND($K235="Y",$F235&lt;&gt;"Y",OR($T235="",$T235=Summary!$C$11)),$C235*IF($H235&lt;&gt;"",$H235,($D235+$E235)/2)*INDEX(Summary!$C$6:$C$8,MATCH($P235,Summary!$B$6:$B$8,0)),0)</f>
        <v>90</v>
      </c>
      <c r="J235" s="20" t="s">
        <v>102</v>
      </c>
      <c r="K235" s="20" t="s">
        <v>103</v>
      </c>
      <c r="L235" s="24" t="s">
        <v>35</v>
      </c>
      <c r="M235" s="24" t="s">
        <v>874</v>
      </c>
      <c r="N235" s="19"/>
      <c r="O235" s="18" t="s">
        <v>212</v>
      </c>
      <c r="P235" s="20" t="s">
        <v>6</v>
      </c>
      <c r="Q235" s="18" t="s">
        <v>44</v>
      </c>
      <c r="R235" s="24" t="s">
        <v>150</v>
      </c>
      <c r="S235" s="18" t="s">
        <v>39</v>
      </c>
      <c r="T235" s="18"/>
      <c r="U235" s="25" t="n">
        <f aca="false">IF(AND($K235="Y",$F235&lt;&gt;"Y",OR($T235="",$T235=Summary!$C$11)),$C235*IF($H235&lt;&gt;"",$H235,$D235)*INDEX(Summary!$C$6:$C$8,MATCH($P235,Summary!$B$6:$B$8,0)),0)</f>
        <v>60</v>
      </c>
      <c r="V235" s="25" t="n">
        <f aca="false">IF(AND($K235="Y",$F235&lt;&gt;"Y",OR($T235="",$T235=Summary!$C$11)),$C235*IF($H235&lt;&gt;"",$H235,$E235)*INDEX(Summary!$C$6:$C$8,MATCH($P235,Summary!$B$6:$B$8,0)),0)</f>
        <v>120</v>
      </c>
      <c r="W235" s="18" t="s">
        <v>118</v>
      </c>
      <c r="X235" s="24"/>
    </row>
    <row r="236" customFormat="false" ht="30" hidden="false" customHeight="true" outlineLevel="0" collapsed="false">
      <c r="A236" s="18" t="s">
        <v>881</v>
      </c>
      <c r="B236" s="19" t="s">
        <v>882</v>
      </c>
      <c r="C236" s="20" t="n">
        <v>1</v>
      </c>
      <c r="D236" s="21" t="n">
        <v>20</v>
      </c>
      <c r="E236" s="21" t="n">
        <v>40</v>
      </c>
      <c r="F236" s="20" t="s">
        <v>101</v>
      </c>
      <c r="G236" s="20" t="s">
        <v>101</v>
      </c>
      <c r="H236" s="22"/>
      <c r="I236" s="23" t="n">
        <f aca="false">IF(AND($K236="Y",$F236&lt;&gt;"Y",OR($T236="",$T236=Summary!$C$11)),$C236*IF($H236&lt;&gt;"",$H236,($D236+$E236)/2)*INDEX(Summary!$C$6:$C$8,MATCH($P236,Summary!$B$6:$B$8,0)),0)</f>
        <v>30</v>
      </c>
      <c r="J236" s="20" t="s">
        <v>102</v>
      </c>
      <c r="K236" s="20" t="s">
        <v>103</v>
      </c>
      <c r="L236" s="24" t="s">
        <v>35</v>
      </c>
      <c r="M236" s="24" t="s">
        <v>874</v>
      </c>
      <c r="N236" s="19"/>
      <c r="O236" s="18" t="s">
        <v>212</v>
      </c>
      <c r="P236" s="20" t="s">
        <v>6</v>
      </c>
      <c r="Q236" s="18" t="s">
        <v>44</v>
      </c>
      <c r="R236" s="24" t="s">
        <v>150</v>
      </c>
      <c r="S236" s="18" t="s">
        <v>39</v>
      </c>
      <c r="T236" s="18"/>
      <c r="U236" s="25" t="n">
        <f aca="false">IF(AND($K236="Y",$F236&lt;&gt;"Y",OR($T236="",$T236=Summary!$C$11)),$C236*IF($H236&lt;&gt;"",$H236,$D236)*INDEX(Summary!$C$6:$C$8,MATCH($P236,Summary!$B$6:$B$8,0)),0)</f>
        <v>20</v>
      </c>
      <c r="V236" s="25" t="n">
        <f aca="false">IF(AND($K236="Y",$F236&lt;&gt;"Y",OR($T236="",$T236=Summary!$C$11)),$C236*IF($H236&lt;&gt;"",$H236,$E236)*INDEX(Summary!$C$6:$C$8,MATCH($P236,Summary!$B$6:$B$8,0)),0)</f>
        <v>40</v>
      </c>
      <c r="W236" s="18" t="s">
        <v>118</v>
      </c>
      <c r="X236" s="24"/>
    </row>
    <row r="237" customFormat="false" ht="30" hidden="false" customHeight="true" outlineLevel="0" collapsed="false">
      <c r="A237" s="18" t="s">
        <v>883</v>
      </c>
      <c r="B237" s="19" t="s">
        <v>884</v>
      </c>
      <c r="C237" s="20" t="n">
        <v>1</v>
      </c>
      <c r="D237" s="21" t="n">
        <v>20</v>
      </c>
      <c r="E237" s="21" t="n">
        <v>40</v>
      </c>
      <c r="F237" s="20" t="s">
        <v>101</v>
      </c>
      <c r="G237" s="20" t="s">
        <v>103</v>
      </c>
      <c r="H237" s="22"/>
      <c r="I237" s="23" t="n">
        <f aca="false">IF(AND($K237="Y",$F237&lt;&gt;"Y",OR($T237="",$T237=Summary!$C$11)),$C237*IF($H237&lt;&gt;"",$H237,($D237+$E237)/2)*INDEX(Summary!$C$6:$C$8,MATCH($P237,Summary!$B$6:$B$8,0)),0)</f>
        <v>30</v>
      </c>
      <c r="J237" s="20" t="s">
        <v>102</v>
      </c>
      <c r="K237" s="20" t="s">
        <v>103</v>
      </c>
      <c r="L237" s="24" t="s">
        <v>35</v>
      </c>
      <c r="M237" s="24" t="s">
        <v>874</v>
      </c>
      <c r="N237" s="19"/>
      <c r="O237" s="18" t="s">
        <v>106</v>
      </c>
      <c r="P237" s="20" t="s">
        <v>6</v>
      </c>
      <c r="Q237" s="18" t="s">
        <v>45</v>
      </c>
      <c r="R237" s="24" t="s">
        <v>7</v>
      </c>
      <c r="S237" s="18" t="s">
        <v>39</v>
      </c>
      <c r="T237" s="18"/>
      <c r="U237" s="25" t="n">
        <f aca="false">IF(AND($K237="Y",$F237&lt;&gt;"Y",OR($T237="",$T237=Summary!$C$11)),$C237*IF($H237&lt;&gt;"",$H237,$D237)*INDEX(Summary!$C$6:$C$8,MATCH($P237,Summary!$B$6:$B$8,0)),0)</f>
        <v>20</v>
      </c>
      <c r="V237" s="25" t="n">
        <f aca="false">IF(AND($K237="Y",$F237&lt;&gt;"Y",OR($T237="",$T237=Summary!$C$11)),$C237*IF($H237&lt;&gt;"",$H237,$E237)*INDEX(Summary!$C$6:$C$8,MATCH($P237,Summary!$B$6:$B$8,0)),0)</f>
        <v>40</v>
      </c>
      <c r="W237" s="18" t="s">
        <v>118</v>
      </c>
      <c r="X237" s="24"/>
    </row>
    <row r="238" customFormat="false" ht="30" hidden="false" customHeight="true" outlineLevel="0" collapsed="false">
      <c r="A238" s="18" t="s">
        <v>885</v>
      </c>
      <c r="B238" s="19" t="s">
        <v>886</v>
      </c>
      <c r="C238" s="20" t="n">
        <v>1</v>
      </c>
      <c r="D238" s="21" t="n">
        <v>300</v>
      </c>
      <c r="E238" s="21" t="n">
        <v>500</v>
      </c>
      <c r="F238" s="20" t="s">
        <v>101</v>
      </c>
      <c r="G238" s="20" t="s">
        <v>101</v>
      </c>
      <c r="H238" s="22"/>
      <c r="I238" s="23" t="n">
        <f aca="false">IF(AND($K238="Y",$F238&lt;&gt;"Y",OR($T238="",$T238=Summary!$C$11)),$C238*IF($H238&lt;&gt;"",$H238,($D238+$E238)/2)*INDEX(Summary!$C$6:$C$8,MATCH($P238,Summary!$B$6:$B$8,0)),0)</f>
        <v>0</v>
      </c>
      <c r="J238" s="20" t="s">
        <v>126</v>
      </c>
      <c r="K238" s="20" t="s">
        <v>101</v>
      </c>
      <c r="L238" s="24" t="s">
        <v>35</v>
      </c>
      <c r="M238" s="24" t="s">
        <v>887</v>
      </c>
      <c r="N238" s="19" t="s">
        <v>888</v>
      </c>
      <c r="O238" s="18" t="s">
        <v>106</v>
      </c>
      <c r="P238" s="20" t="s">
        <v>6</v>
      </c>
      <c r="Q238" s="18" t="s">
        <v>44</v>
      </c>
      <c r="R238" s="24" t="s">
        <v>343</v>
      </c>
      <c r="S238" s="18" t="s">
        <v>42</v>
      </c>
      <c r="T238" s="18"/>
      <c r="U238" s="25" t="n">
        <f aca="false">IF(AND($K238="Y",$F238&lt;&gt;"Y",OR($T238="",$T238=Summary!$C$11)),$C238*IF($H238&lt;&gt;"",$H238,$D238)*INDEX(Summary!$C$6:$C$8,MATCH($P238,Summary!$B$6:$B$8,0)),0)</f>
        <v>0</v>
      </c>
      <c r="V238" s="25" t="n">
        <f aca="false">IF(AND($K238="Y",$F238&lt;&gt;"Y",OR($T238="",$T238=Summary!$C$11)),$C238*IF($H238&lt;&gt;"",$H238,$E238)*INDEX(Summary!$C$6:$C$8,MATCH($P238,Summary!$B$6:$B$8,0)),0)</f>
        <v>0</v>
      </c>
      <c r="W238" s="18" t="s">
        <v>118</v>
      </c>
      <c r="X238" s="24"/>
    </row>
    <row r="239" customFormat="false" ht="30" hidden="false" customHeight="true" outlineLevel="0" collapsed="false">
      <c r="A239" s="18" t="s">
        <v>889</v>
      </c>
      <c r="B239" s="19" t="s">
        <v>890</v>
      </c>
      <c r="C239" s="20" t="n">
        <v>1</v>
      </c>
      <c r="D239" s="21" t="n">
        <v>100</v>
      </c>
      <c r="E239" s="21" t="n">
        <v>200</v>
      </c>
      <c r="F239" s="20" t="s">
        <v>101</v>
      </c>
      <c r="G239" s="20" t="s">
        <v>101</v>
      </c>
      <c r="H239" s="22"/>
      <c r="I239" s="23" t="n">
        <f aca="false">IF(AND($K239="Y",$F239&lt;&gt;"Y",OR($T239="",$T239=Summary!$C$11)),$C239*IF($H239&lt;&gt;"",$H239,($D239+$E239)/2)*INDEX(Summary!$C$6:$C$8,MATCH($P239,Summary!$B$6:$B$8,0)),0)</f>
        <v>0</v>
      </c>
      <c r="J239" s="20" t="s">
        <v>126</v>
      </c>
      <c r="K239" s="20" t="s">
        <v>101</v>
      </c>
      <c r="L239" s="24" t="s">
        <v>35</v>
      </c>
      <c r="M239" s="24" t="s">
        <v>887</v>
      </c>
      <c r="N239" s="19"/>
      <c r="O239" s="18" t="s">
        <v>106</v>
      </c>
      <c r="P239" s="20" t="s">
        <v>6</v>
      </c>
      <c r="Q239" s="18" t="s">
        <v>44</v>
      </c>
      <c r="R239" s="24" t="s">
        <v>343</v>
      </c>
      <c r="S239" s="18" t="s">
        <v>42</v>
      </c>
      <c r="T239" s="18"/>
      <c r="U239" s="25" t="n">
        <f aca="false">IF(AND($K239="Y",$F239&lt;&gt;"Y",OR($T239="",$T239=Summary!$C$11)),$C239*IF($H239&lt;&gt;"",$H239,$D239)*INDEX(Summary!$C$6:$C$8,MATCH($P239,Summary!$B$6:$B$8,0)),0)</f>
        <v>0</v>
      </c>
      <c r="V239" s="25" t="n">
        <f aca="false">IF(AND($K239="Y",$F239&lt;&gt;"Y",OR($T239="",$T239=Summary!$C$11)),$C239*IF($H239&lt;&gt;"",$H239,$E239)*INDEX(Summary!$C$6:$C$8,MATCH($P239,Summary!$B$6:$B$8,0)),0)</f>
        <v>0</v>
      </c>
      <c r="W239" s="18" t="s">
        <v>118</v>
      </c>
      <c r="X239" s="24"/>
    </row>
    <row r="240" customFormat="false" ht="30" hidden="false" customHeight="true" outlineLevel="0" collapsed="false">
      <c r="A240" s="18" t="s">
        <v>891</v>
      </c>
      <c r="B240" s="19" t="s">
        <v>892</v>
      </c>
      <c r="C240" s="20" t="n">
        <v>1</v>
      </c>
      <c r="D240" s="21" t="n">
        <v>85</v>
      </c>
      <c r="E240" s="21" t="n">
        <v>170</v>
      </c>
      <c r="F240" s="20" t="s">
        <v>101</v>
      </c>
      <c r="G240" s="20" t="s">
        <v>101</v>
      </c>
      <c r="H240" s="22"/>
      <c r="I240" s="23" t="n">
        <f aca="false">IF(AND($K240="Y",$F240&lt;&gt;"Y",OR($T240="",$T240=Summary!$C$11)),$C240*IF($H240&lt;&gt;"",$H240,($D240+$E240)/2)*INDEX(Summary!$C$6:$C$8,MATCH($P240,Summary!$B$6:$B$8,0)),0)</f>
        <v>127.5</v>
      </c>
      <c r="J240" s="20" t="s">
        <v>102</v>
      </c>
      <c r="K240" s="20" t="s">
        <v>103</v>
      </c>
      <c r="L240" s="24" t="s">
        <v>35</v>
      </c>
      <c r="M240" s="24" t="s">
        <v>887</v>
      </c>
      <c r="N240" s="19"/>
      <c r="O240" s="18" t="s">
        <v>106</v>
      </c>
      <c r="P240" s="20" t="s">
        <v>6</v>
      </c>
      <c r="Q240" s="18" t="s">
        <v>44</v>
      </c>
      <c r="R240" s="24" t="s">
        <v>893</v>
      </c>
      <c r="S240" s="18" t="s">
        <v>42</v>
      </c>
      <c r="T240" s="18"/>
      <c r="U240" s="25" t="n">
        <f aca="false">IF(AND($K240="Y",$F240&lt;&gt;"Y",OR($T240="",$T240=Summary!$C$11)),$C240*IF($H240&lt;&gt;"",$H240,$D240)*INDEX(Summary!$C$6:$C$8,MATCH($P240,Summary!$B$6:$B$8,0)),0)</f>
        <v>85</v>
      </c>
      <c r="V240" s="25" t="n">
        <f aca="false">IF(AND($K240="Y",$F240&lt;&gt;"Y",OR($T240="",$T240=Summary!$C$11)),$C240*IF($H240&lt;&gt;"",$H240,$E240)*INDEX(Summary!$C$6:$C$8,MATCH($P240,Summary!$B$6:$B$8,0)),0)</f>
        <v>170</v>
      </c>
      <c r="W240" s="18" t="s">
        <v>118</v>
      </c>
      <c r="X240" s="26" t="s">
        <v>894</v>
      </c>
    </row>
    <row r="241" customFormat="false" ht="30" hidden="false" customHeight="true" outlineLevel="0" collapsed="false">
      <c r="A241" s="18" t="s">
        <v>895</v>
      </c>
      <c r="B241" s="19" t="s">
        <v>896</v>
      </c>
      <c r="C241" s="20" t="n">
        <v>1</v>
      </c>
      <c r="D241" s="21" t="n">
        <v>0</v>
      </c>
      <c r="E241" s="21" t="n">
        <v>80</v>
      </c>
      <c r="F241" s="20" t="s">
        <v>101</v>
      </c>
      <c r="G241" s="20" t="s">
        <v>101</v>
      </c>
      <c r="H241" s="22"/>
      <c r="I241" s="23" t="n">
        <f aca="false">IF(AND($K241="Y",$F241&lt;&gt;"Y",OR($T241="",$T241=Summary!$C$11)),$C241*IF($H241&lt;&gt;"",$H241,($D241+$E241)/2)*INDEX(Summary!$C$6:$C$8,MATCH($P241,Summary!$B$6:$B$8,0)),0)</f>
        <v>40</v>
      </c>
      <c r="J241" s="20" t="s">
        <v>157</v>
      </c>
      <c r="K241" s="20" t="s">
        <v>103</v>
      </c>
      <c r="L241" s="24" t="s">
        <v>35</v>
      </c>
      <c r="M241" s="24" t="s">
        <v>897</v>
      </c>
      <c r="N241" s="19"/>
      <c r="O241" s="18" t="s">
        <v>106</v>
      </c>
      <c r="P241" s="20" t="s">
        <v>6</v>
      </c>
      <c r="Q241" s="18" t="s">
        <v>44</v>
      </c>
      <c r="R241" s="24" t="s">
        <v>213</v>
      </c>
      <c r="S241" s="18" t="s">
        <v>42</v>
      </c>
      <c r="T241" s="18"/>
      <c r="U241" s="25" t="n">
        <f aca="false">IF(AND($K241="Y",$F241&lt;&gt;"Y",OR($T241="",$T241=Summary!$C$11)),$C241*IF($H241&lt;&gt;"",$H241,$D241)*INDEX(Summary!$C$6:$C$8,MATCH($P241,Summary!$B$6:$B$8,0)),0)</f>
        <v>0</v>
      </c>
      <c r="V241" s="25" t="n">
        <f aca="false">IF(AND($K241="Y",$F241&lt;&gt;"Y",OR($T241="",$T241=Summary!$C$11)),$C241*IF($H241&lt;&gt;"",$H241,$E241)*INDEX(Summary!$C$6:$C$8,MATCH($P241,Summary!$B$6:$B$8,0)),0)</f>
        <v>80</v>
      </c>
      <c r="W241" s="18" t="s">
        <v>118</v>
      </c>
      <c r="X241" s="24"/>
    </row>
    <row r="242" customFormat="false" ht="30" hidden="false" customHeight="true" outlineLevel="0" collapsed="false">
      <c r="A242" s="18" t="s">
        <v>898</v>
      </c>
      <c r="B242" s="19" t="s">
        <v>899</v>
      </c>
      <c r="C242" s="20" t="n">
        <v>1</v>
      </c>
      <c r="D242" s="21" t="n">
        <v>45</v>
      </c>
      <c r="E242" s="21" t="n">
        <v>85</v>
      </c>
      <c r="F242" s="20" t="s">
        <v>101</v>
      </c>
      <c r="G242" s="20" t="s">
        <v>101</v>
      </c>
      <c r="H242" s="22"/>
      <c r="I242" s="23" t="n">
        <f aca="false">IF(AND($K242="Y",$F242&lt;&gt;"Y",OR($T242="",$T242=Summary!$C$11)),$C242*IF($H242&lt;&gt;"",$H242,($D242+$E242)/2)*INDEX(Summary!$C$6:$C$8,MATCH($P242,Summary!$B$6:$B$8,0)),0)</f>
        <v>65</v>
      </c>
      <c r="J242" s="20" t="s">
        <v>102</v>
      </c>
      <c r="K242" s="20" t="s">
        <v>103</v>
      </c>
      <c r="L242" s="24" t="s">
        <v>35</v>
      </c>
      <c r="M242" s="24" t="s">
        <v>897</v>
      </c>
      <c r="N242" s="19"/>
      <c r="O242" s="18" t="s">
        <v>140</v>
      </c>
      <c r="P242" s="20" t="s">
        <v>6</v>
      </c>
      <c r="Q242" s="18" t="s">
        <v>44</v>
      </c>
      <c r="R242" s="24" t="s">
        <v>860</v>
      </c>
      <c r="S242" s="18" t="s">
        <v>41</v>
      </c>
      <c r="T242" s="18"/>
      <c r="U242" s="25" t="n">
        <f aca="false">IF(AND($K242="Y",$F242&lt;&gt;"Y",OR($T242="",$T242=Summary!$C$11)),$C242*IF($H242&lt;&gt;"",$H242,$D242)*INDEX(Summary!$C$6:$C$8,MATCH($P242,Summary!$B$6:$B$8,0)),0)</f>
        <v>45</v>
      </c>
      <c r="V242" s="25" t="n">
        <f aca="false">IF(AND($K242="Y",$F242&lt;&gt;"Y",OR($T242="",$T242=Summary!$C$11)),$C242*IF($H242&lt;&gt;"",$H242,$E242)*INDEX(Summary!$C$6:$C$8,MATCH($P242,Summary!$B$6:$B$8,0)),0)</f>
        <v>85</v>
      </c>
      <c r="W242" s="18" t="s">
        <v>118</v>
      </c>
      <c r="X242" s="24"/>
    </row>
    <row r="243" customFormat="false" ht="30" hidden="false" customHeight="true" outlineLevel="0" collapsed="false">
      <c r="A243" s="18" t="s">
        <v>900</v>
      </c>
      <c r="B243" s="19" t="s">
        <v>901</v>
      </c>
      <c r="C243" s="20" t="n">
        <v>1</v>
      </c>
      <c r="D243" s="21" t="n">
        <v>20</v>
      </c>
      <c r="E243" s="21" t="n">
        <v>40</v>
      </c>
      <c r="F243" s="20" t="s">
        <v>101</v>
      </c>
      <c r="G243" s="20" t="s">
        <v>101</v>
      </c>
      <c r="H243" s="22"/>
      <c r="I243" s="23" t="n">
        <f aca="false">IF(AND($K243="Y",$F243&lt;&gt;"Y",OR($T243="",$T243=Summary!$C$11)),$C243*IF($H243&lt;&gt;"",$H243,($D243+$E243)/2)*INDEX(Summary!$C$6:$C$8,MATCH($P243,Summary!$B$6:$B$8,0)),0)</f>
        <v>30</v>
      </c>
      <c r="J243" s="20" t="s">
        <v>102</v>
      </c>
      <c r="K243" s="20" t="s">
        <v>103</v>
      </c>
      <c r="L243" s="24" t="s">
        <v>35</v>
      </c>
      <c r="M243" s="24" t="s">
        <v>897</v>
      </c>
      <c r="N243" s="19"/>
      <c r="O243" s="18" t="s">
        <v>140</v>
      </c>
      <c r="P243" s="20" t="s">
        <v>6</v>
      </c>
      <c r="Q243" s="18" t="s">
        <v>44</v>
      </c>
      <c r="R243" s="24" t="s">
        <v>213</v>
      </c>
      <c r="S243" s="18" t="s">
        <v>40</v>
      </c>
      <c r="T243" s="18"/>
      <c r="U243" s="25" t="n">
        <f aca="false">IF(AND($K243="Y",$F243&lt;&gt;"Y",OR($T243="",$T243=Summary!$C$11)),$C243*IF($H243&lt;&gt;"",$H243,$D243)*INDEX(Summary!$C$6:$C$8,MATCH($P243,Summary!$B$6:$B$8,0)),0)</f>
        <v>20</v>
      </c>
      <c r="V243" s="25" t="n">
        <f aca="false">IF(AND($K243="Y",$F243&lt;&gt;"Y",OR($T243="",$T243=Summary!$C$11)),$C243*IF($H243&lt;&gt;"",$H243,$E243)*INDEX(Summary!$C$6:$C$8,MATCH($P243,Summary!$B$6:$B$8,0)),0)</f>
        <v>40</v>
      </c>
      <c r="W243" s="18" t="s">
        <v>118</v>
      </c>
      <c r="X243" s="24"/>
    </row>
    <row r="244" customFormat="false" ht="30" hidden="false" customHeight="true" outlineLevel="0" collapsed="false">
      <c r="A244" s="18" t="s">
        <v>902</v>
      </c>
      <c r="B244" s="19" t="s">
        <v>903</v>
      </c>
      <c r="C244" s="20" t="n">
        <v>1</v>
      </c>
      <c r="D244" s="21" t="n">
        <v>-2500</v>
      </c>
      <c r="E244" s="21" t="n">
        <v>-1000</v>
      </c>
      <c r="F244" s="20" t="s">
        <v>101</v>
      </c>
      <c r="G244" s="20" t="s">
        <v>101</v>
      </c>
      <c r="H244" s="22"/>
      <c r="I244" s="23" t="n">
        <f aca="false">IF(AND($K244="Y",$F244&lt;&gt;"Y",OR($T244="",$T244=Summary!$C$11)),$C244*IF($H244&lt;&gt;"",$H244,($D244+$E244)/2)*INDEX(Summary!$C$6:$C$8,MATCH($P244,Summary!$B$6:$B$8,0)),0)</f>
        <v>0</v>
      </c>
      <c r="J244" s="20" t="s">
        <v>126</v>
      </c>
      <c r="K244" s="20" t="s">
        <v>101</v>
      </c>
      <c r="L244" s="24" t="s">
        <v>36</v>
      </c>
      <c r="M244" s="24" t="s">
        <v>47</v>
      </c>
      <c r="N244" s="19" t="s">
        <v>904</v>
      </c>
      <c r="O244" s="18" t="s">
        <v>106</v>
      </c>
      <c r="P244" s="20" t="s">
        <v>6</v>
      </c>
      <c r="Q244" s="18" t="s">
        <v>47</v>
      </c>
      <c r="R244" s="24" t="s">
        <v>905</v>
      </c>
      <c r="S244" s="18" t="s">
        <v>40</v>
      </c>
      <c r="T244" s="18"/>
      <c r="U244" s="25" t="n">
        <f aca="false">IF(AND($K244="Y",$F244&lt;&gt;"Y",OR($T244="",$T244=Summary!$C$11)),$C244*IF($H244&lt;&gt;"",$H244,$D244)*INDEX(Summary!$C$6:$C$8,MATCH($P244,Summary!$B$6:$B$8,0)),0)</f>
        <v>0</v>
      </c>
      <c r="V244" s="25" t="n">
        <f aca="false">IF(AND($K244="Y",$F244&lt;&gt;"Y",OR($T244="",$T244=Summary!$C$11)),$C244*IF($H244&lt;&gt;"",$H244,$E244)*INDEX(Summary!$C$6:$C$8,MATCH($P244,Summary!$B$6:$B$8,0)),0)</f>
        <v>0</v>
      </c>
      <c r="W244" s="18" t="s">
        <v>118</v>
      </c>
      <c r="X244" s="24"/>
    </row>
    <row r="245" customFormat="false" ht="30" hidden="false" customHeight="true" outlineLevel="0" collapsed="false">
      <c r="A245" s="18" t="s">
        <v>906</v>
      </c>
      <c r="B245" s="19" t="s">
        <v>907</v>
      </c>
      <c r="C245" s="20" t="n">
        <v>1</v>
      </c>
      <c r="D245" s="21" t="n">
        <v>-1200</v>
      </c>
      <c r="E245" s="21" t="n">
        <v>-600</v>
      </c>
      <c r="F245" s="20" t="s">
        <v>101</v>
      </c>
      <c r="G245" s="20" t="s">
        <v>101</v>
      </c>
      <c r="H245" s="22"/>
      <c r="I245" s="23" t="n">
        <f aca="false">IF(AND($K245="Y",$F245&lt;&gt;"Y",OR($T245="",$T245=Summary!$C$11)),$C245*IF($H245&lt;&gt;"",$H245,($D245+$E245)/2)*INDEX(Summary!$C$6:$C$8,MATCH($P245,Summary!$B$6:$B$8,0)),0)</f>
        <v>0</v>
      </c>
      <c r="J245" s="20" t="s">
        <v>126</v>
      </c>
      <c r="K245" s="20" t="s">
        <v>101</v>
      </c>
      <c r="L245" s="24" t="s">
        <v>36</v>
      </c>
      <c r="M245" s="24" t="s">
        <v>47</v>
      </c>
      <c r="N245" s="19"/>
      <c r="O245" s="18" t="s">
        <v>106</v>
      </c>
      <c r="P245" s="20" t="s">
        <v>6</v>
      </c>
      <c r="Q245" s="18" t="s">
        <v>47</v>
      </c>
      <c r="R245" s="24" t="s">
        <v>908</v>
      </c>
      <c r="S245" s="18" t="s">
        <v>40</v>
      </c>
      <c r="T245" s="18" t="s">
        <v>15</v>
      </c>
      <c r="U245" s="25" t="n">
        <f aca="false">IF(AND($K245="Y",$F245&lt;&gt;"Y",OR($T245="",$T245=Summary!$C$11)),$C245*IF($H245&lt;&gt;"",$H245,$D245)*INDEX(Summary!$C$6:$C$8,MATCH($P245,Summary!$B$6:$B$8,0)),0)</f>
        <v>0</v>
      </c>
      <c r="V245" s="25" t="n">
        <f aca="false">IF(AND($K245="Y",$F245&lt;&gt;"Y",OR($T245="",$T245=Summary!$C$11)),$C245*IF($H245&lt;&gt;"",$H245,$E245)*INDEX(Summary!$C$6:$C$8,MATCH($P245,Summary!$B$6:$B$8,0)),0)</f>
        <v>0</v>
      </c>
      <c r="W245" s="18" t="s">
        <v>118</v>
      </c>
      <c r="X245" s="24"/>
    </row>
    <row r="246" customFormat="false" ht="30" hidden="false" customHeight="true" outlineLevel="0" collapsed="false">
      <c r="A246" s="18" t="s">
        <v>909</v>
      </c>
      <c r="B246" s="19" t="s">
        <v>910</v>
      </c>
      <c r="C246" s="20" t="n">
        <v>1</v>
      </c>
      <c r="D246" s="21" t="n">
        <v>-300</v>
      </c>
      <c r="E246" s="21" t="n">
        <v>-100</v>
      </c>
      <c r="F246" s="20" t="s">
        <v>101</v>
      </c>
      <c r="G246" s="20" t="s">
        <v>101</v>
      </c>
      <c r="H246" s="22"/>
      <c r="I246" s="23" t="n">
        <f aca="false">IF(AND($K246="Y",$F246&lt;&gt;"Y",OR($T246="",$T246=Summary!$C$11)),$C246*IF($H246&lt;&gt;"",$H246,($D246+$E246)/2)*INDEX(Summary!$C$6:$C$8,MATCH($P246,Summary!$B$6:$B$8,0)),0)</f>
        <v>0</v>
      </c>
      <c r="J246" s="20" t="s">
        <v>126</v>
      </c>
      <c r="K246" s="20" t="s">
        <v>101</v>
      </c>
      <c r="L246" s="24" t="s">
        <v>36</v>
      </c>
      <c r="M246" s="24" t="s">
        <v>47</v>
      </c>
      <c r="N246" s="19"/>
      <c r="O246" s="18" t="s">
        <v>212</v>
      </c>
      <c r="P246" s="20" t="s">
        <v>6</v>
      </c>
      <c r="Q246" s="18" t="s">
        <v>47</v>
      </c>
      <c r="R246" s="24" t="s">
        <v>908</v>
      </c>
      <c r="S246" s="18" t="s">
        <v>40</v>
      </c>
      <c r="T246" s="18"/>
      <c r="U246" s="25" t="n">
        <f aca="false">IF(AND($K246="Y",$F246&lt;&gt;"Y",OR($T246="",$T246=Summary!$C$11)),$C246*IF($H246&lt;&gt;"",$H246,$D246)*INDEX(Summary!$C$6:$C$8,MATCH($P246,Summary!$B$6:$B$8,0)),0)</f>
        <v>0</v>
      </c>
      <c r="V246" s="25" t="n">
        <f aca="false">IF(AND($K246="Y",$F246&lt;&gt;"Y",OR($T246="",$T246=Summary!$C$11)),$C246*IF($H246&lt;&gt;"",$H246,$E246)*INDEX(Summary!$C$6:$C$8,MATCH($P246,Summary!$B$6:$B$8,0)),0)</f>
        <v>0</v>
      </c>
      <c r="W246" s="18" t="s">
        <v>118</v>
      </c>
      <c r="X246" s="24"/>
    </row>
    <row r="247" customFormat="false" ht="30" hidden="false" customHeight="true" outlineLevel="0" collapsed="false">
      <c r="A247" s="18" t="s">
        <v>911</v>
      </c>
      <c r="B247" s="19" t="s">
        <v>912</v>
      </c>
      <c r="C247" s="20" t="n">
        <v>1</v>
      </c>
      <c r="D247" s="21" t="n">
        <v>-80</v>
      </c>
      <c r="E247" s="21" t="n">
        <v>-40</v>
      </c>
      <c r="F247" s="20" t="s">
        <v>101</v>
      </c>
      <c r="G247" s="20" t="s">
        <v>101</v>
      </c>
      <c r="H247" s="22"/>
      <c r="I247" s="23" t="n">
        <f aca="false">IF(AND($K247="Y",$F247&lt;&gt;"Y",OR($T247="",$T247=Summary!$C$11)),$C247*IF($H247&lt;&gt;"",$H247,($D247+$E247)/2)*INDEX(Summary!$C$6:$C$8,MATCH($P247,Summary!$B$6:$B$8,0)),0)</f>
        <v>0</v>
      </c>
      <c r="J247" s="20" t="s">
        <v>126</v>
      </c>
      <c r="K247" s="20" t="s">
        <v>101</v>
      </c>
      <c r="L247" s="24" t="s">
        <v>36</v>
      </c>
      <c r="M247" s="24" t="s">
        <v>47</v>
      </c>
      <c r="N247" s="19"/>
      <c r="O247" s="18" t="s">
        <v>106</v>
      </c>
      <c r="P247" s="20" t="s">
        <v>6</v>
      </c>
      <c r="Q247" s="18" t="s">
        <v>47</v>
      </c>
      <c r="R247" s="24" t="s">
        <v>908</v>
      </c>
      <c r="S247" s="18" t="s">
        <v>40</v>
      </c>
      <c r="T247" s="18"/>
      <c r="U247" s="25" t="n">
        <f aca="false">IF(AND($K247="Y",$F247&lt;&gt;"Y",OR($T247="",$T247=Summary!$C$11)),$C247*IF($H247&lt;&gt;"",$H247,$D247)*INDEX(Summary!$C$6:$C$8,MATCH($P247,Summary!$B$6:$B$8,0)),0)</f>
        <v>0</v>
      </c>
      <c r="V247" s="25" t="n">
        <f aca="false">IF(AND($K247="Y",$F247&lt;&gt;"Y",OR($T247="",$T247=Summary!$C$11)),$C247*IF($H247&lt;&gt;"",$H247,$E247)*INDEX(Summary!$C$6:$C$8,MATCH($P247,Summary!$B$6:$B$8,0)),0)</f>
        <v>0</v>
      </c>
      <c r="W247" s="18" t="s">
        <v>118</v>
      </c>
      <c r="X247" s="24"/>
    </row>
    <row r="248" customFormat="false" ht="15" hidden="false" customHeight="true" outlineLevel="0" collapsed="false">
      <c r="H248" s="14" t="s">
        <v>913</v>
      </c>
      <c r="I248" s="14" t="n">
        <f aca="false">SUM(I5:I247)</f>
        <v>39470.5</v>
      </c>
      <c r="U248" s="14" t="n">
        <f aca="false">SUM(U5:U247)</f>
        <v>25785</v>
      </c>
      <c r="V248" s="14" t="n">
        <f aca="false">SUM(V5:V247)</f>
        <v>53156</v>
      </c>
    </row>
  </sheetData>
  <autoFilter ref="A4:X247"/>
  <mergeCells count="1">
    <mergeCell ref="A2:K2"/>
  </mergeCells>
  <conditionalFormatting sqref="A5:X247">
    <cfRule type="expression" priority="2" aboveAverage="0" equalAverage="0" bottom="0" percent="0" rank="0" text="" dxfId="10">
      <formula>$K5="N"</formula>
    </cfRule>
    <cfRule type="expression" priority="3" aboveAverage="0" equalAverage="0" bottom="0" percent="0" rank="0" text="" dxfId="11">
      <formula>AND($T5&lt;&gt;"",$T5&lt;&gt;Summary!$C$11)</formula>
    </cfRule>
    <cfRule type="expression" priority="4" aboveAverage="0" equalAverage="0" bottom="0" percent="0" rank="0" text="" dxfId="12">
      <formula>$F5="Y"</formula>
    </cfRule>
  </conditionalFormatting>
  <conditionalFormatting sqref="J5:J247">
    <cfRule type="expression" priority="5" aboveAverage="0" equalAverage="0" bottom="0" percent="0" rank="0" text="" dxfId="13">
      <formula>$J5="To decide"</formula>
    </cfRule>
  </conditionalFormatting>
  <dataValidations count="5">
    <dataValidation allowBlank="true" errorStyle="stop" operator="between" showDropDown="false" showErrorMessage="false" showInputMessage="false" sqref="K5:K247" type="list">
      <formula1>"Y,N"</formula1>
      <formula2>0</formula2>
    </dataValidation>
    <dataValidation allowBlank="true" errorStyle="stop" operator="between" showDropDown="false" showErrorMessage="false" showInputMessage="false" sqref="F5:G247" type="list">
      <formula1>"Y,N"</formula1>
      <formula2>0</formula2>
    </dataValidation>
    <dataValidation allowBlank="true" errorStyle="stop" operator="between" showDropDown="false" showErrorMessage="false" showInputMessage="false" sqref="P5:P247" type="list">
      <formula1>"CAD,USD,GBP"</formula1>
      <formula2>0</formula2>
    </dataValidation>
    <dataValidation allowBlank="true" errorStyle="stop" operator="between" showDropDown="false" showErrorMessage="false" showInputMessage="false" sqref="J5:J247" type="list">
      <formula1>"Need,To decide,Option,Optional,Ordered,Have,Done"</formula1>
      <formula2>0</formula2>
    </dataValidation>
    <dataValidation allowBlank="true" errorStyle="stop" operator="between" showDropDown="false" showErrorMessage="false" showInputMessage="false" sqref="Q5:Q247" type="list">
      <formula1>"Buy,Make,Have,Sell"</formula1>
      <formula2>0</formula2>
    </dataValidation>
  </dataValidations>
  <hyperlinks>
    <hyperlink ref="X5" r:id="rId2" display="https://www.cargurus.ca/Cars/l-Used-Scion-FR-S-Toronto-d2140_L414276"/>
    <hyperlink ref="X6" r:id="rId3" display="https://www.ebay.com/itm/355614546913"/>
    <hyperlink ref="X28" r:id="rId4" display="https://performancebyie.com/products/ie-vacuum-pump-blockoff-vw-25l-5cyl"/>
    <hyperlink ref="X35" r:id="rId5" display="https://www.ebay.com/b/Complete-Manual-Transmissions-for-Mazda-RX-8/171117/bn_1435951"/>
    <hyperlink ref="X39" r:id="rId6" display="https://www.onlinemetals.com/en/buy/aluminum-sheet-plate-6061"/>
    <hyperlink ref="X42" r:id="rId7" display="https://americanpowertrain.com/general-bellhousing-alignment-instructions/"/>
    <hyperlink ref="X47" r:id="rId8" display="https://www.rx8gearboxadapters.com/product-page/vw-pd-1-8t-20v-vertically-mounted"/>
    <hyperlink ref="X48" r:id="rId9" display="https://www.rx8gearboxadapters.com/product-page/vw-pd-1-8t-bolt-kit-rx8027"/>
    <hyperlink ref="X49" r:id="rId10" display="https://www.ecstuning.com/b-ecs-parts/ra4-single-mass-flywheel-kit/ecs212321b5kt/"/>
    <hyperlink ref="X52" r:id="rId11" display="https://qedmotorsport.co.uk/product/clutch-plate-228mm-1-x-23-spline-ford-box-heavy-duty-organic-helix/"/>
    <hyperlink ref="X53" r:id="rId12" display="https://www.rx8gearboxadapters.com/product-page/rx8-spigot-bearing-rx8017"/>
    <hyperlink ref="X56" r:id="rId13" display="https://www.ebay.co.uk/p/1509332173"/>
    <hyperlink ref="X59" r:id="rId14" display="https://www.speedwaymotors.com/Tilton-60-6100-Flat-Face-Hydraulic-Release-Bearing-Universal,413901.html"/>
    <hyperlink ref="X62" r:id="rId15" display="https://www.rx8gearboxadapters.com/product-page/rx8-6-speed-concentric-slave-cylinder-set-up"/>
    <hyperlink ref="X92" r:id="rId16" display="https://www.garrettmotion.com/racing-and-performance/performance-turbos/"/>
    <hyperlink ref="X95" r:id="rId17" display="https://byiabed.com/07K-25-Rabbit-to-TT-RS-Turbocharger-adapter-plate_p_143.html"/>
    <hyperlink ref="X97" r:id="rId18" display="https://www.cgtrader.com/3d-print-models/hobby-diy/automotive/vw-07k-exhaust-header-flange-3d-model"/>
    <hyperlink ref="X135" r:id="rId19" display="https://www.boostbrothersgarage.com/collections/944-07k-swap"/>
    <hyperlink ref="X139" r:id="rId20" display="https://www.onlinemetals.com/en/buy/aluminum-sheet-plate-6061"/>
    <hyperlink ref="X142" r:id="rId21" display="https://www.onlinemetals.com/en/buy/aluminum-sheet-plate-5052"/>
    <hyperlink ref="X143" r:id="rId22" display="https://www.speedymetals.com/pc-4604-8371-2-od-x-065-wall-tube-6061-t6-aluminum.aspx"/>
    <hyperlink ref="X144" r:id="rId23" display="https://www.jegs.com/i/ICT-Billet/335/551313/10002/-1"/>
    <hyperlink ref="X145" r:id="rId24" display="https://www.jegs.com/i/Vibrant-Performance/231/11170/10002/-1"/>
    <hyperlink ref="X168" r:id="rId25" display="https://revmapperformance.com/product/07k-swap-ready-file/"/>
    <hyperlink ref="X175" r:id="rId26" display="https://charles.revmapperformance.com/"/>
    <hyperlink ref="X185" r:id="rId27" display="https://www.pjrc.com/store/teensy41.html"/>
    <hyperlink ref="X217" r:id="rId28" display="https://sketchfab.com/3d-models/86-frs-brz-front-subframe-model-96c9112eee00459089a809713f6b00d2"/>
    <hyperlink ref="X224" r:id="rId29" display="https://www.boostbrothersgarage.com/products/944-07k-swap-oil-pan"/>
    <hyperlink ref="X240" r:id="rId30" display="https://s-pautomotive.com/product/07k-engine-stand-mount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1"/>
  <legacyDrawing r:id="rId3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X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1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3" min="3" style="0" width="5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6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6"/>
    <col collapsed="false" customWidth="true" hidden="true" outlineLevel="1" max="12" min="12" style="0" width="15"/>
    <col collapsed="false" customWidth="true" hidden="true" outlineLevel="1" max="24" min="13" style="0" width="13"/>
  </cols>
  <sheetData>
    <row r="1" customFormat="false" ht="17.35" hidden="false" customHeight="false" outlineLevel="0" collapsed="false">
      <c r="A1" s="2" t="s">
        <v>914</v>
      </c>
    </row>
    <row r="2" customFormat="false" ht="45" hidden="false" customHeight="true" outlineLevel="0" collapsed="false">
      <c r="A2" s="16" t="s">
        <v>915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4" customFormat="false" ht="31.5" hidden="false" customHeight="true" outlineLevel="0" collapsed="false">
      <c r="A4" s="17" t="s">
        <v>76</v>
      </c>
      <c r="B4" s="17" t="s">
        <v>77</v>
      </c>
      <c r="C4" s="17" t="s">
        <v>78</v>
      </c>
      <c r="D4" s="17" t="s">
        <v>79</v>
      </c>
      <c r="E4" s="17" t="s">
        <v>80</v>
      </c>
      <c r="F4" s="17" t="s">
        <v>81</v>
      </c>
      <c r="G4" s="17" t="s">
        <v>82</v>
      </c>
      <c r="H4" s="17" t="s">
        <v>83</v>
      </c>
      <c r="I4" s="17" t="s">
        <v>84</v>
      </c>
      <c r="J4" s="17" t="s">
        <v>85</v>
      </c>
      <c r="K4" s="17" t="s">
        <v>86</v>
      </c>
      <c r="L4" s="17" t="s">
        <v>87</v>
      </c>
      <c r="M4" s="17" t="s">
        <v>88</v>
      </c>
      <c r="N4" s="17" t="s">
        <v>89</v>
      </c>
      <c r="O4" s="17" t="s">
        <v>90</v>
      </c>
      <c r="P4" s="17" t="s">
        <v>91</v>
      </c>
      <c r="Q4" s="17" t="s">
        <v>5</v>
      </c>
      <c r="R4" s="17" t="s">
        <v>92</v>
      </c>
      <c r="S4" s="17" t="s">
        <v>93</v>
      </c>
      <c r="T4" s="17" t="s">
        <v>94</v>
      </c>
      <c r="U4" s="17" t="s">
        <v>95</v>
      </c>
      <c r="V4" s="17" t="s">
        <v>96</v>
      </c>
      <c r="W4" s="17" t="s">
        <v>97</v>
      </c>
      <c r="X4" s="17" t="s">
        <v>98</v>
      </c>
    </row>
    <row r="5" customFormat="false" ht="30" hidden="false" customHeight="true" outlineLevel="0" collapsed="false">
      <c r="A5" s="18" t="s">
        <v>774</v>
      </c>
      <c r="B5" s="19" t="s">
        <v>916</v>
      </c>
      <c r="C5" s="20" t="n">
        <v>1</v>
      </c>
      <c r="D5" s="21"/>
      <c r="E5" s="21"/>
      <c r="F5" s="20" t="s">
        <v>101</v>
      </c>
      <c r="G5" s="20" t="s">
        <v>101</v>
      </c>
      <c r="H5" s="22" t="n">
        <v>57.99</v>
      </c>
      <c r="I5" s="23" t="n">
        <f aca="false">IF(AND($K5="Y",$F5&lt;&gt;"Y",OR($T5="",$T5=Summary!$C$11)),$C5*IF($H5&lt;&gt;"",$H5,($D5+$E5)/2)*INDEX(Summary!$C$6:$C$8,MATCH($P5,Summary!$B$6:$B$8,0)),0)</f>
        <v>57.99</v>
      </c>
      <c r="J5" s="20" t="s">
        <v>102</v>
      </c>
      <c r="K5" s="20" t="s">
        <v>103</v>
      </c>
      <c r="L5" s="24" t="s">
        <v>917</v>
      </c>
      <c r="M5" s="24" t="s">
        <v>918</v>
      </c>
      <c r="N5" s="19" t="s">
        <v>919</v>
      </c>
      <c r="O5" s="18" t="s">
        <v>920</v>
      </c>
      <c r="P5" s="20" t="s">
        <v>6</v>
      </c>
      <c r="Q5" s="18" t="s">
        <v>44</v>
      </c>
      <c r="R5" s="24" t="s">
        <v>921</v>
      </c>
      <c r="S5" s="18" t="s">
        <v>922</v>
      </c>
      <c r="T5" s="18"/>
      <c r="U5" s="25" t="n">
        <f aca="false">IF(AND($K5="Y",$F5&lt;&gt;"Y",OR($T5="",$T5=Summary!$C$11)),$C5*IF($H5&lt;&gt;"",$H5,$D5)*INDEX(Summary!$C$6:$C$8,MATCH($P5,Summary!$B$6:$B$8,0)),0)</f>
        <v>57.99</v>
      </c>
      <c r="V5" s="25" t="n">
        <f aca="false">IF(AND($K5="Y",$F5&lt;&gt;"Y",OR($T5="",$T5=Summary!$C$11)),$C5*IF($H5&lt;&gt;"",$H5,$E5)*INDEX(Summary!$C$6:$C$8,MATCH($P5,Summary!$B$6:$B$8,0)),0)</f>
        <v>57.99</v>
      </c>
      <c r="W5" s="18" t="s">
        <v>219</v>
      </c>
      <c r="X5" s="26" t="s">
        <v>923</v>
      </c>
    </row>
    <row r="6" customFormat="false" ht="30" hidden="false" customHeight="true" outlineLevel="0" collapsed="false">
      <c r="A6" s="18" t="s">
        <v>777</v>
      </c>
      <c r="B6" s="19" t="s">
        <v>924</v>
      </c>
      <c r="C6" s="20" t="n">
        <v>1</v>
      </c>
      <c r="D6" s="21"/>
      <c r="E6" s="21"/>
      <c r="F6" s="20" t="s">
        <v>101</v>
      </c>
      <c r="G6" s="20" t="s">
        <v>101</v>
      </c>
      <c r="H6" s="22" t="n">
        <v>106.99</v>
      </c>
      <c r="I6" s="23" t="n">
        <f aca="false">IF(AND($K6="Y",$F6&lt;&gt;"Y",OR($T6="",$T6=Summary!$C$11)),$C6*IF($H6&lt;&gt;"",$H6,($D6+$E6)/2)*INDEX(Summary!$C$6:$C$8,MATCH($P6,Summary!$B$6:$B$8,0)),0)</f>
        <v>106.99</v>
      </c>
      <c r="J6" s="20" t="s">
        <v>102</v>
      </c>
      <c r="K6" s="20" t="s">
        <v>103</v>
      </c>
      <c r="L6" s="24" t="s">
        <v>917</v>
      </c>
      <c r="M6" s="24" t="s">
        <v>918</v>
      </c>
      <c r="N6" s="19" t="s">
        <v>925</v>
      </c>
      <c r="O6" s="18" t="s">
        <v>920</v>
      </c>
      <c r="P6" s="20" t="s">
        <v>6</v>
      </c>
      <c r="Q6" s="18" t="s">
        <v>44</v>
      </c>
      <c r="R6" s="24" t="s">
        <v>926</v>
      </c>
      <c r="S6" s="18" t="s">
        <v>922</v>
      </c>
      <c r="T6" s="18"/>
      <c r="U6" s="25" t="n">
        <f aca="false">IF(AND($K6="Y",$F6&lt;&gt;"Y",OR($T6="",$T6=Summary!$C$11)),$C6*IF($H6&lt;&gt;"",$H6,$D6)*INDEX(Summary!$C$6:$C$8,MATCH($P6,Summary!$B$6:$B$8,0)),0)</f>
        <v>106.99</v>
      </c>
      <c r="V6" s="25" t="n">
        <f aca="false">IF(AND($K6="Y",$F6&lt;&gt;"Y",OR($T6="",$T6=Summary!$C$11)),$C6*IF($H6&lt;&gt;"",$H6,$E6)*INDEX(Summary!$C$6:$C$8,MATCH($P6,Summary!$B$6:$B$8,0)),0)</f>
        <v>106.99</v>
      </c>
      <c r="W6" s="18" t="s">
        <v>219</v>
      </c>
      <c r="X6" s="26" t="s">
        <v>927</v>
      </c>
    </row>
    <row r="7" customFormat="false" ht="30" hidden="false" customHeight="true" outlineLevel="0" collapsed="false">
      <c r="A7" s="18" t="s">
        <v>780</v>
      </c>
      <c r="B7" s="19" t="s">
        <v>928</v>
      </c>
      <c r="C7" s="20" t="n">
        <v>18</v>
      </c>
      <c r="D7" s="21"/>
      <c r="E7" s="21"/>
      <c r="F7" s="20" t="s">
        <v>101</v>
      </c>
      <c r="G7" s="20" t="s">
        <v>101</v>
      </c>
      <c r="H7" s="22"/>
      <c r="I7" s="23" t="n">
        <f aca="false">IF(AND($K7="Y",$F7&lt;&gt;"Y",OR($T7="",$T7=Summary!$C$11)),$C7*IF($H7&lt;&gt;"",$H7,($D7+$E7)/2)*INDEX(Summary!$C$6:$C$8,MATCH($P7,Summary!$B$6:$B$8,0)),0)</f>
        <v>0</v>
      </c>
      <c r="J7" s="20" t="s">
        <v>102</v>
      </c>
      <c r="K7" s="20" t="s">
        <v>103</v>
      </c>
      <c r="L7" s="24" t="s">
        <v>917</v>
      </c>
      <c r="M7" s="24" t="s">
        <v>856</v>
      </c>
      <c r="N7" s="19" t="s">
        <v>929</v>
      </c>
      <c r="O7" s="18" t="s">
        <v>106</v>
      </c>
      <c r="P7" s="20" t="s">
        <v>6</v>
      </c>
      <c r="Q7" s="18" t="s">
        <v>44</v>
      </c>
      <c r="R7" s="24" t="s">
        <v>930</v>
      </c>
      <c r="S7" s="18" t="s">
        <v>922</v>
      </c>
      <c r="T7" s="18"/>
      <c r="U7" s="25" t="n">
        <f aca="false">IF(AND($K7="Y",$F7&lt;&gt;"Y",OR($T7="",$T7=Summary!$C$11)),$C7*IF($H7&lt;&gt;"",$H7,$D7)*INDEX(Summary!$C$6:$C$8,MATCH($P7,Summary!$B$6:$B$8,0)),0)</f>
        <v>0</v>
      </c>
      <c r="V7" s="25" t="n">
        <f aca="false">IF(AND($K7="Y",$F7&lt;&gt;"Y",OR($T7="",$T7=Summary!$C$11)),$C7*IF($H7&lt;&gt;"",$H7,$E7)*INDEX(Summary!$C$6:$C$8,MATCH($P7,Summary!$B$6:$B$8,0)),0)</f>
        <v>0</v>
      </c>
      <c r="W7" s="18" t="s">
        <v>62</v>
      </c>
      <c r="X7" s="26" t="s">
        <v>931</v>
      </c>
    </row>
    <row r="8" customFormat="false" ht="30" hidden="false" customHeight="true" outlineLevel="0" collapsed="false">
      <c r="A8" s="18" t="s">
        <v>783</v>
      </c>
      <c r="B8" s="19" t="s">
        <v>932</v>
      </c>
      <c r="C8" s="20" t="n">
        <v>8</v>
      </c>
      <c r="D8" s="21"/>
      <c r="E8" s="21"/>
      <c r="F8" s="20" t="s">
        <v>101</v>
      </c>
      <c r="G8" s="20" t="s">
        <v>101</v>
      </c>
      <c r="H8" s="22"/>
      <c r="I8" s="23" t="n">
        <f aca="false">IF(AND($K8="Y",$F8&lt;&gt;"Y",OR($T8="",$T8=Summary!$C$11)),$C8*IF($H8&lt;&gt;"",$H8,($D8+$E8)/2)*INDEX(Summary!$C$6:$C$8,MATCH($P8,Summary!$B$6:$B$8,0)),0)</f>
        <v>0</v>
      </c>
      <c r="J8" s="20" t="s">
        <v>102</v>
      </c>
      <c r="K8" s="20" t="s">
        <v>103</v>
      </c>
      <c r="L8" s="24" t="s">
        <v>917</v>
      </c>
      <c r="M8" s="24" t="s">
        <v>856</v>
      </c>
      <c r="N8" s="19" t="s">
        <v>933</v>
      </c>
      <c r="O8" s="18" t="s">
        <v>106</v>
      </c>
      <c r="P8" s="20" t="s">
        <v>6</v>
      </c>
      <c r="Q8" s="18" t="s">
        <v>44</v>
      </c>
      <c r="R8" s="24" t="s">
        <v>934</v>
      </c>
      <c r="S8" s="18" t="s">
        <v>922</v>
      </c>
      <c r="T8" s="18"/>
      <c r="U8" s="25" t="n">
        <f aca="false">IF(AND($K8="Y",$F8&lt;&gt;"Y",OR($T8="",$T8=Summary!$C$11)),$C8*IF($H8&lt;&gt;"",$H8,$D8)*INDEX(Summary!$C$6:$C$8,MATCH($P8,Summary!$B$6:$B$8,0)),0)</f>
        <v>0</v>
      </c>
      <c r="V8" s="25" t="n">
        <f aca="false">IF(AND($K8="Y",$F8&lt;&gt;"Y",OR($T8="",$T8=Summary!$C$11)),$C8*IF($H8&lt;&gt;"",$H8,$E8)*INDEX(Summary!$C$6:$C$8,MATCH($P8,Summary!$B$6:$B$8,0)),0)</f>
        <v>0</v>
      </c>
      <c r="W8" s="18" t="s">
        <v>62</v>
      </c>
      <c r="X8" s="26" t="s">
        <v>935</v>
      </c>
    </row>
    <row r="9" customFormat="false" ht="30" hidden="false" customHeight="true" outlineLevel="0" collapsed="false">
      <c r="A9" s="18" t="s">
        <v>787</v>
      </c>
      <c r="B9" s="19" t="s">
        <v>936</v>
      </c>
      <c r="C9" s="20" t="n">
        <v>100</v>
      </c>
      <c r="D9" s="21"/>
      <c r="E9" s="21"/>
      <c r="F9" s="20" t="s">
        <v>101</v>
      </c>
      <c r="G9" s="20" t="s">
        <v>101</v>
      </c>
      <c r="H9" s="22"/>
      <c r="I9" s="23" t="n">
        <f aca="false">IF(AND($K9="Y",$F9&lt;&gt;"Y",OR($T9="",$T9=Summary!$C$11)),$C9*IF($H9&lt;&gt;"",$H9,($D9+$E9)/2)*INDEX(Summary!$C$6:$C$8,MATCH($P9,Summary!$B$6:$B$8,0)),0)</f>
        <v>0</v>
      </c>
      <c r="J9" s="20" t="s">
        <v>102</v>
      </c>
      <c r="K9" s="20" t="s">
        <v>103</v>
      </c>
      <c r="L9" s="24" t="s">
        <v>917</v>
      </c>
      <c r="M9" s="24" t="s">
        <v>856</v>
      </c>
      <c r="N9" s="19" t="s">
        <v>937</v>
      </c>
      <c r="O9" s="18" t="s">
        <v>106</v>
      </c>
      <c r="P9" s="20" t="s">
        <v>6</v>
      </c>
      <c r="Q9" s="18" t="s">
        <v>44</v>
      </c>
      <c r="R9" s="24" t="s">
        <v>938</v>
      </c>
      <c r="S9" s="18" t="s">
        <v>922</v>
      </c>
      <c r="T9" s="18"/>
      <c r="U9" s="25" t="n">
        <f aca="false">IF(AND($K9="Y",$F9&lt;&gt;"Y",OR($T9="",$T9=Summary!$C$11)),$C9*IF($H9&lt;&gt;"",$H9,$D9)*INDEX(Summary!$C$6:$C$8,MATCH($P9,Summary!$B$6:$B$8,0)),0)</f>
        <v>0</v>
      </c>
      <c r="V9" s="25" t="n">
        <f aca="false">IF(AND($K9="Y",$F9&lt;&gt;"Y",OR($T9="",$T9=Summary!$C$11)),$C9*IF($H9&lt;&gt;"",$H9,$E9)*INDEX(Summary!$C$6:$C$8,MATCH($P9,Summary!$B$6:$B$8,0)),0)</f>
        <v>0</v>
      </c>
      <c r="W9" s="18" t="s">
        <v>62</v>
      </c>
      <c r="X9" s="26" t="s">
        <v>939</v>
      </c>
    </row>
    <row r="10" customFormat="false" ht="30" hidden="false" customHeight="true" outlineLevel="0" collapsed="false">
      <c r="A10" s="18" t="s">
        <v>789</v>
      </c>
      <c r="B10" s="19" t="s">
        <v>940</v>
      </c>
      <c r="C10" s="20" t="n">
        <v>100</v>
      </c>
      <c r="D10" s="21"/>
      <c r="E10" s="21"/>
      <c r="F10" s="20" t="s">
        <v>101</v>
      </c>
      <c r="G10" s="20" t="s">
        <v>101</v>
      </c>
      <c r="H10" s="22"/>
      <c r="I10" s="23" t="n">
        <f aca="false">IF(AND($K10="Y",$F10&lt;&gt;"Y",OR($T10="",$T10=Summary!$C$11)),$C10*IF($H10&lt;&gt;"",$H10,($D10+$E10)/2)*INDEX(Summary!$C$6:$C$8,MATCH($P10,Summary!$B$6:$B$8,0)),0)</f>
        <v>0</v>
      </c>
      <c r="J10" s="20" t="s">
        <v>102</v>
      </c>
      <c r="K10" s="20" t="s">
        <v>103</v>
      </c>
      <c r="L10" s="24" t="s">
        <v>917</v>
      </c>
      <c r="M10" s="24" t="s">
        <v>856</v>
      </c>
      <c r="N10" s="19" t="s">
        <v>941</v>
      </c>
      <c r="O10" s="18" t="s">
        <v>106</v>
      </c>
      <c r="P10" s="20" t="s">
        <v>6</v>
      </c>
      <c r="Q10" s="18" t="s">
        <v>44</v>
      </c>
      <c r="R10" s="24" t="s">
        <v>942</v>
      </c>
      <c r="S10" s="18" t="s">
        <v>922</v>
      </c>
      <c r="T10" s="18"/>
      <c r="U10" s="25" t="n">
        <f aca="false">IF(AND($K10="Y",$F10&lt;&gt;"Y",OR($T10="",$T10=Summary!$C$11)),$C10*IF($H10&lt;&gt;"",$H10,$D10)*INDEX(Summary!$C$6:$C$8,MATCH($P10,Summary!$B$6:$B$8,0)),0)</f>
        <v>0</v>
      </c>
      <c r="V10" s="25" t="n">
        <f aca="false">IF(AND($K10="Y",$F10&lt;&gt;"Y",OR($T10="",$T10=Summary!$C$11)),$C10*IF($H10&lt;&gt;"",$H10,$E10)*INDEX(Summary!$C$6:$C$8,MATCH($P10,Summary!$B$6:$B$8,0)),0)</f>
        <v>0</v>
      </c>
      <c r="W10" s="18" t="s">
        <v>62</v>
      </c>
      <c r="X10" s="26" t="s">
        <v>943</v>
      </c>
    </row>
    <row r="11" customFormat="false" ht="30" hidden="false" customHeight="true" outlineLevel="0" collapsed="false">
      <c r="A11" s="18" t="s">
        <v>791</v>
      </c>
      <c r="B11" s="19" t="s">
        <v>944</v>
      </c>
      <c r="C11" s="20" t="n">
        <v>50</v>
      </c>
      <c r="D11" s="21"/>
      <c r="E11" s="21"/>
      <c r="F11" s="20" t="s">
        <v>101</v>
      </c>
      <c r="G11" s="20" t="s">
        <v>101</v>
      </c>
      <c r="H11" s="22"/>
      <c r="I11" s="23" t="n">
        <f aca="false">IF(AND($K11="Y",$F11&lt;&gt;"Y",OR($T11="",$T11=Summary!$C$11)),$C11*IF($H11&lt;&gt;"",$H11,($D11+$E11)/2)*INDEX(Summary!$C$6:$C$8,MATCH($P11,Summary!$B$6:$B$8,0)),0)</f>
        <v>0</v>
      </c>
      <c r="J11" s="20" t="s">
        <v>102</v>
      </c>
      <c r="K11" s="20" t="s">
        <v>103</v>
      </c>
      <c r="L11" s="24" t="s">
        <v>917</v>
      </c>
      <c r="M11" s="24" t="s">
        <v>856</v>
      </c>
      <c r="N11" s="19"/>
      <c r="O11" s="18" t="s">
        <v>106</v>
      </c>
      <c r="P11" s="20" t="s">
        <v>6</v>
      </c>
      <c r="Q11" s="18" t="s">
        <v>44</v>
      </c>
      <c r="R11" s="24" t="s">
        <v>938</v>
      </c>
      <c r="S11" s="18" t="s">
        <v>922</v>
      </c>
      <c r="T11" s="18"/>
      <c r="U11" s="25" t="n">
        <f aca="false">IF(AND($K11="Y",$F11&lt;&gt;"Y",OR($T11="",$T11=Summary!$C$11)),$C11*IF($H11&lt;&gt;"",$H11,$D11)*INDEX(Summary!$C$6:$C$8,MATCH($P11,Summary!$B$6:$B$8,0)),0)</f>
        <v>0</v>
      </c>
      <c r="V11" s="25" t="n">
        <f aca="false">IF(AND($K11="Y",$F11&lt;&gt;"Y",OR($T11="",$T11=Summary!$C$11)),$C11*IF($H11&lt;&gt;"",$H11,$E11)*INDEX(Summary!$C$6:$C$8,MATCH($P11,Summary!$B$6:$B$8,0)),0)</f>
        <v>0</v>
      </c>
      <c r="W11" s="18" t="s">
        <v>62</v>
      </c>
      <c r="X11" s="26" t="s">
        <v>939</v>
      </c>
    </row>
    <row r="12" customFormat="false" ht="30" hidden="false" customHeight="true" outlineLevel="0" collapsed="false">
      <c r="A12" s="18" t="s">
        <v>793</v>
      </c>
      <c r="B12" s="19" t="s">
        <v>945</v>
      </c>
      <c r="C12" s="20" t="n">
        <v>50</v>
      </c>
      <c r="D12" s="21"/>
      <c r="E12" s="21"/>
      <c r="F12" s="20" t="s">
        <v>101</v>
      </c>
      <c r="G12" s="20" t="s">
        <v>101</v>
      </c>
      <c r="H12" s="22"/>
      <c r="I12" s="23" t="n">
        <f aca="false">IF(AND($K12="Y",$F12&lt;&gt;"Y",OR($T12="",$T12=Summary!$C$11)),$C12*IF($H12&lt;&gt;"",$H12,($D12+$E12)/2)*INDEX(Summary!$C$6:$C$8,MATCH($P12,Summary!$B$6:$B$8,0)),0)</f>
        <v>0</v>
      </c>
      <c r="J12" s="20" t="s">
        <v>102</v>
      </c>
      <c r="K12" s="20" t="s">
        <v>103</v>
      </c>
      <c r="L12" s="24" t="s">
        <v>917</v>
      </c>
      <c r="M12" s="24" t="s">
        <v>856</v>
      </c>
      <c r="N12" s="19"/>
      <c r="O12" s="18" t="s">
        <v>106</v>
      </c>
      <c r="P12" s="20" t="s">
        <v>6</v>
      </c>
      <c r="Q12" s="18" t="s">
        <v>44</v>
      </c>
      <c r="R12" s="24" t="s">
        <v>942</v>
      </c>
      <c r="S12" s="18" t="s">
        <v>922</v>
      </c>
      <c r="T12" s="18"/>
      <c r="U12" s="25" t="n">
        <f aca="false">IF(AND($K12="Y",$F12&lt;&gt;"Y",OR($T12="",$T12=Summary!$C$11)),$C12*IF($H12&lt;&gt;"",$H12,$D12)*INDEX(Summary!$C$6:$C$8,MATCH($P12,Summary!$B$6:$B$8,0)),0)</f>
        <v>0</v>
      </c>
      <c r="V12" s="25" t="n">
        <f aca="false">IF(AND($K12="Y",$F12&lt;&gt;"Y",OR($T12="",$T12=Summary!$C$11)),$C12*IF($H12&lt;&gt;"",$H12,$E12)*INDEX(Summary!$C$6:$C$8,MATCH($P12,Summary!$B$6:$B$8,0)),0)</f>
        <v>0</v>
      </c>
      <c r="W12" s="18" t="s">
        <v>62</v>
      </c>
      <c r="X12" s="26" t="s">
        <v>943</v>
      </c>
    </row>
    <row r="13" customFormat="false" ht="30" hidden="false" customHeight="true" outlineLevel="0" collapsed="false">
      <c r="A13" s="18" t="s">
        <v>796</v>
      </c>
      <c r="B13" s="19" t="s">
        <v>946</v>
      </c>
      <c r="C13" s="20" t="n">
        <v>1</v>
      </c>
      <c r="D13" s="21"/>
      <c r="E13" s="21"/>
      <c r="F13" s="20" t="s">
        <v>101</v>
      </c>
      <c r="G13" s="20" t="s">
        <v>101</v>
      </c>
      <c r="H13" s="22"/>
      <c r="I13" s="23" t="n">
        <f aca="false">IF(AND($K13="Y",$F13&lt;&gt;"Y",OR($T13="",$T13=Summary!$C$11)),$C13*IF($H13&lt;&gt;"",$H13,($D13+$E13)/2)*INDEX(Summary!$C$6:$C$8,MATCH($P13,Summary!$B$6:$B$8,0)),0)</f>
        <v>0</v>
      </c>
      <c r="J13" s="20" t="s">
        <v>102</v>
      </c>
      <c r="K13" s="20" t="s">
        <v>103</v>
      </c>
      <c r="L13" s="24" t="s">
        <v>917</v>
      </c>
      <c r="M13" s="24" t="s">
        <v>856</v>
      </c>
      <c r="N13" s="19" t="s">
        <v>947</v>
      </c>
      <c r="O13" s="18" t="s">
        <v>160</v>
      </c>
      <c r="P13" s="20" t="s">
        <v>6</v>
      </c>
      <c r="Q13" s="18" t="s">
        <v>44</v>
      </c>
      <c r="R13" s="24" t="s">
        <v>948</v>
      </c>
      <c r="S13" s="18" t="s">
        <v>922</v>
      </c>
      <c r="T13" s="18"/>
      <c r="U13" s="25" t="n">
        <f aca="false">IF(AND($K13="Y",$F13&lt;&gt;"Y",OR($T13="",$T13=Summary!$C$11)),$C13*IF($H13&lt;&gt;"",$H13,$D13)*INDEX(Summary!$C$6:$C$8,MATCH($P13,Summary!$B$6:$B$8,0)),0)</f>
        <v>0</v>
      </c>
      <c r="V13" s="25" t="n">
        <f aca="false">IF(AND($K13="Y",$F13&lt;&gt;"Y",OR($T13="",$T13=Summary!$C$11)),$C13*IF($H13&lt;&gt;"",$H13,$E13)*INDEX(Summary!$C$6:$C$8,MATCH($P13,Summary!$B$6:$B$8,0)),0)</f>
        <v>0</v>
      </c>
      <c r="W13" s="18" t="s">
        <v>62</v>
      </c>
      <c r="X13" s="26"/>
    </row>
    <row r="14" customFormat="false" ht="30" hidden="false" customHeight="true" outlineLevel="0" collapsed="false">
      <c r="A14" s="18" t="s">
        <v>798</v>
      </c>
      <c r="B14" s="19" t="s">
        <v>949</v>
      </c>
      <c r="C14" s="20" t="n">
        <v>2</v>
      </c>
      <c r="D14" s="21"/>
      <c r="E14" s="21"/>
      <c r="F14" s="20" t="s">
        <v>101</v>
      </c>
      <c r="G14" s="20" t="s">
        <v>101</v>
      </c>
      <c r="H14" s="22"/>
      <c r="I14" s="23" t="n">
        <f aca="false">IF(AND($K14="Y",$F14&lt;&gt;"Y",OR($T14="",$T14=Summary!$C$11)),$C14*IF($H14&lt;&gt;"",$H14,($D14+$E14)/2)*INDEX(Summary!$C$6:$C$8,MATCH($P14,Summary!$B$6:$B$8,0)),0)</f>
        <v>0</v>
      </c>
      <c r="J14" s="20" t="s">
        <v>102</v>
      </c>
      <c r="K14" s="20" t="s">
        <v>103</v>
      </c>
      <c r="L14" s="24" t="s">
        <v>950</v>
      </c>
      <c r="M14" s="24" t="s">
        <v>951</v>
      </c>
      <c r="N14" s="19" t="s">
        <v>952</v>
      </c>
      <c r="O14" s="18" t="s">
        <v>106</v>
      </c>
      <c r="P14" s="20" t="s">
        <v>6</v>
      </c>
      <c r="Q14" s="18" t="s">
        <v>44</v>
      </c>
      <c r="R14" s="24" t="s">
        <v>953</v>
      </c>
      <c r="S14" s="18" t="s">
        <v>922</v>
      </c>
      <c r="T14" s="18"/>
      <c r="U14" s="25" t="n">
        <f aca="false">IF(AND($K14="Y",$F14&lt;&gt;"Y",OR($T14="",$T14=Summary!$C$11)),$C14*IF($H14&lt;&gt;"",$H14,$D14)*INDEX(Summary!$C$6:$C$8,MATCH($P14,Summary!$B$6:$B$8,0)),0)</f>
        <v>0</v>
      </c>
      <c r="V14" s="25" t="n">
        <f aca="false">IF(AND($K14="Y",$F14&lt;&gt;"Y",OR($T14="",$T14=Summary!$C$11)),$C14*IF($H14&lt;&gt;"",$H14,$E14)*INDEX(Summary!$C$6:$C$8,MATCH($P14,Summary!$B$6:$B$8,0)),0)</f>
        <v>0</v>
      </c>
      <c r="W14" s="18" t="s">
        <v>62</v>
      </c>
      <c r="X14" s="26" t="s">
        <v>954</v>
      </c>
    </row>
    <row r="15" customFormat="false" ht="30" hidden="false" customHeight="true" outlineLevel="0" collapsed="false">
      <c r="A15" s="18" t="s">
        <v>802</v>
      </c>
      <c r="B15" s="19" t="s">
        <v>955</v>
      </c>
      <c r="C15" s="20" t="n">
        <v>2</v>
      </c>
      <c r="D15" s="21"/>
      <c r="E15" s="21"/>
      <c r="F15" s="20" t="s">
        <v>101</v>
      </c>
      <c r="G15" s="20" t="s">
        <v>101</v>
      </c>
      <c r="H15" s="22"/>
      <c r="I15" s="23" t="n">
        <f aca="false">IF(AND($K15="Y",$F15&lt;&gt;"Y",OR($T15="",$T15=Summary!$C$11)),$C15*IF($H15&lt;&gt;"",$H15,($D15+$E15)/2)*INDEX(Summary!$C$6:$C$8,MATCH($P15,Summary!$B$6:$B$8,0)),0)</f>
        <v>0</v>
      </c>
      <c r="J15" s="20" t="s">
        <v>102</v>
      </c>
      <c r="K15" s="20" t="s">
        <v>103</v>
      </c>
      <c r="L15" s="24" t="s">
        <v>950</v>
      </c>
      <c r="M15" s="24" t="s">
        <v>951</v>
      </c>
      <c r="N15" s="19" t="s">
        <v>956</v>
      </c>
      <c r="O15" s="18" t="s">
        <v>106</v>
      </c>
      <c r="P15" s="20" t="s">
        <v>6</v>
      </c>
      <c r="Q15" s="18" t="s">
        <v>44</v>
      </c>
      <c r="R15" s="24" t="s">
        <v>953</v>
      </c>
      <c r="S15" s="18" t="s">
        <v>922</v>
      </c>
      <c r="T15" s="18"/>
      <c r="U15" s="25" t="n">
        <f aca="false">IF(AND($K15="Y",$F15&lt;&gt;"Y",OR($T15="",$T15=Summary!$C$11)),$C15*IF($H15&lt;&gt;"",$H15,$D15)*INDEX(Summary!$C$6:$C$8,MATCH($P15,Summary!$B$6:$B$8,0)),0)</f>
        <v>0</v>
      </c>
      <c r="V15" s="25" t="n">
        <f aca="false">IF(AND($K15="Y",$F15&lt;&gt;"Y",OR($T15="",$T15=Summary!$C$11)),$C15*IF($H15&lt;&gt;"",$H15,$E15)*INDEX(Summary!$C$6:$C$8,MATCH($P15,Summary!$B$6:$B$8,0)),0)</f>
        <v>0</v>
      </c>
      <c r="W15" s="18" t="s">
        <v>62</v>
      </c>
      <c r="X15" s="26" t="s">
        <v>954</v>
      </c>
    </row>
    <row r="16" customFormat="false" ht="30" hidden="false" customHeight="true" outlineLevel="0" collapsed="false">
      <c r="A16" s="18" t="s">
        <v>806</v>
      </c>
      <c r="B16" s="19" t="s">
        <v>957</v>
      </c>
      <c r="C16" s="20" t="n">
        <v>2</v>
      </c>
      <c r="D16" s="21"/>
      <c r="E16" s="21"/>
      <c r="F16" s="20" t="s">
        <v>101</v>
      </c>
      <c r="G16" s="20" t="s">
        <v>101</v>
      </c>
      <c r="H16" s="22"/>
      <c r="I16" s="23" t="n">
        <f aca="false">IF(AND($K16="Y",$F16&lt;&gt;"Y",OR($T16="",$T16=Summary!$C$11)),$C16*IF($H16&lt;&gt;"",$H16,($D16+$E16)/2)*INDEX(Summary!$C$6:$C$8,MATCH($P16,Summary!$B$6:$B$8,0)),0)</f>
        <v>0</v>
      </c>
      <c r="J16" s="20" t="s">
        <v>102</v>
      </c>
      <c r="K16" s="20" t="s">
        <v>103</v>
      </c>
      <c r="L16" s="24" t="s">
        <v>950</v>
      </c>
      <c r="M16" s="24" t="s">
        <v>951</v>
      </c>
      <c r="N16" s="19" t="s">
        <v>958</v>
      </c>
      <c r="O16" s="18" t="s">
        <v>106</v>
      </c>
      <c r="P16" s="20" t="s">
        <v>6</v>
      </c>
      <c r="Q16" s="18" t="s">
        <v>44</v>
      </c>
      <c r="R16" s="24" t="s">
        <v>953</v>
      </c>
      <c r="S16" s="18" t="s">
        <v>922</v>
      </c>
      <c r="T16" s="18"/>
      <c r="U16" s="25" t="n">
        <f aca="false">IF(AND($K16="Y",$F16&lt;&gt;"Y",OR($T16="",$T16=Summary!$C$11)),$C16*IF($H16&lt;&gt;"",$H16,$D16)*INDEX(Summary!$C$6:$C$8,MATCH($P16,Summary!$B$6:$B$8,0)),0)</f>
        <v>0</v>
      </c>
      <c r="V16" s="25" t="n">
        <f aca="false">IF(AND($K16="Y",$F16&lt;&gt;"Y",OR($T16="",$T16=Summary!$C$11)),$C16*IF($H16&lt;&gt;"",$H16,$E16)*INDEX(Summary!$C$6:$C$8,MATCH($P16,Summary!$B$6:$B$8,0)),0)</f>
        <v>0</v>
      </c>
      <c r="W16" s="18" t="s">
        <v>62</v>
      </c>
      <c r="X16" s="26" t="s">
        <v>954</v>
      </c>
    </row>
    <row r="17" customFormat="false" ht="30" hidden="false" customHeight="true" outlineLevel="0" collapsed="false">
      <c r="A17" s="18" t="s">
        <v>808</v>
      </c>
      <c r="B17" s="19" t="s">
        <v>959</v>
      </c>
      <c r="C17" s="20" t="n">
        <v>2</v>
      </c>
      <c r="D17" s="21"/>
      <c r="E17" s="21"/>
      <c r="F17" s="20" t="s">
        <v>101</v>
      </c>
      <c r="G17" s="20" t="s">
        <v>101</v>
      </c>
      <c r="H17" s="22"/>
      <c r="I17" s="23" t="n">
        <f aca="false">IF(AND($K17="Y",$F17&lt;&gt;"Y",OR($T17="",$T17=Summary!$C$11)),$C17*IF($H17&lt;&gt;"",$H17,($D17+$E17)/2)*INDEX(Summary!$C$6:$C$8,MATCH($P17,Summary!$B$6:$B$8,0)),0)</f>
        <v>0</v>
      </c>
      <c r="J17" s="20" t="s">
        <v>102</v>
      </c>
      <c r="K17" s="20" t="s">
        <v>103</v>
      </c>
      <c r="L17" s="24" t="s">
        <v>950</v>
      </c>
      <c r="M17" s="24" t="s">
        <v>960</v>
      </c>
      <c r="N17" s="19" t="s">
        <v>961</v>
      </c>
      <c r="O17" s="18" t="s">
        <v>106</v>
      </c>
      <c r="P17" s="20" t="s">
        <v>6</v>
      </c>
      <c r="Q17" s="18" t="s">
        <v>44</v>
      </c>
      <c r="R17" s="24" t="s">
        <v>962</v>
      </c>
      <c r="S17" s="18" t="s">
        <v>922</v>
      </c>
      <c r="T17" s="18"/>
      <c r="U17" s="25" t="n">
        <f aca="false">IF(AND($K17="Y",$F17&lt;&gt;"Y",OR($T17="",$T17=Summary!$C$11)),$C17*IF($H17&lt;&gt;"",$H17,$D17)*INDEX(Summary!$C$6:$C$8,MATCH($P17,Summary!$B$6:$B$8,0)),0)</f>
        <v>0</v>
      </c>
      <c r="V17" s="25" t="n">
        <f aca="false">IF(AND($K17="Y",$F17&lt;&gt;"Y",OR($T17="",$T17=Summary!$C$11)),$C17*IF($H17&lt;&gt;"",$H17,$E17)*INDEX(Summary!$C$6:$C$8,MATCH($P17,Summary!$B$6:$B$8,0)),0)</f>
        <v>0</v>
      </c>
      <c r="W17" s="18" t="s">
        <v>62</v>
      </c>
      <c r="X17" s="26" t="s">
        <v>963</v>
      </c>
    </row>
    <row r="18" customFormat="false" ht="30" hidden="false" customHeight="true" outlineLevel="0" collapsed="false">
      <c r="A18" s="18" t="s">
        <v>813</v>
      </c>
      <c r="B18" s="19" t="s">
        <v>964</v>
      </c>
      <c r="C18" s="20" t="n">
        <v>1</v>
      </c>
      <c r="D18" s="21"/>
      <c r="E18" s="21"/>
      <c r="F18" s="20" t="s">
        <v>101</v>
      </c>
      <c r="G18" s="20" t="s">
        <v>101</v>
      </c>
      <c r="H18" s="22"/>
      <c r="I18" s="23" t="n">
        <f aca="false">IF(AND($K18="Y",$F18&lt;&gt;"Y",OR($T18="",$T18=Summary!$C$11)),$C18*IF($H18&lt;&gt;"",$H18,($D18+$E18)/2)*INDEX(Summary!$C$6:$C$8,MATCH($P18,Summary!$B$6:$B$8,0)),0)</f>
        <v>0</v>
      </c>
      <c r="J18" s="20" t="s">
        <v>102</v>
      </c>
      <c r="K18" s="20" t="s">
        <v>103</v>
      </c>
      <c r="L18" s="24" t="s">
        <v>950</v>
      </c>
      <c r="M18" s="24" t="s">
        <v>960</v>
      </c>
      <c r="N18" s="19"/>
      <c r="O18" s="18" t="s">
        <v>106</v>
      </c>
      <c r="P18" s="20" t="s">
        <v>6</v>
      </c>
      <c r="Q18" s="18" t="s">
        <v>44</v>
      </c>
      <c r="R18" s="24" t="s">
        <v>962</v>
      </c>
      <c r="S18" s="18" t="s">
        <v>922</v>
      </c>
      <c r="T18" s="18"/>
      <c r="U18" s="25" t="n">
        <f aca="false">IF(AND($K18="Y",$F18&lt;&gt;"Y",OR($T18="",$T18=Summary!$C$11)),$C18*IF($H18&lt;&gt;"",$H18,$D18)*INDEX(Summary!$C$6:$C$8,MATCH($P18,Summary!$B$6:$B$8,0)),0)</f>
        <v>0</v>
      </c>
      <c r="V18" s="25" t="n">
        <f aca="false">IF(AND($K18="Y",$F18&lt;&gt;"Y",OR($T18="",$T18=Summary!$C$11)),$C18*IF($H18&lt;&gt;"",$H18,$E18)*INDEX(Summary!$C$6:$C$8,MATCH($P18,Summary!$B$6:$B$8,0)),0)</f>
        <v>0</v>
      </c>
      <c r="W18" s="18" t="s">
        <v>62</v>
      </c>
      <c r="X18" s="26" t="s">
        <v>963</v>
      </c>
    </row>
    <row r="19" customFormat="false" ht="30" hidden="false" customHeight="true" outlineLevel="0" collapsed="false">
      <c r="A19" s="18" t="s">
        <v>816</v>
      </c>
      <c r="B19" s="19" t="s">
        <v>965</v>
      </c>
      <c r="C19" s="20" t="n">
        <v>1</v>
      </c>
      <c r="D19" s="21"/>
      <c r="E19" s="21"/>
      <c r="F19" s="20" t="s">
        <v>101</v>
      </c>
      <c r="G19" s="20" t="s">
        <v>101</v>
      </c>
      <c r="H19" s="22"/>
      <c r="I19" s="23" t="n">
        <f aca="false">IF(AND($K19="Y",$F19&lt;&gt;"Y",OR($T19="",$T19=Summary!$C$11)),$C19*IF($H19&lt;&gt;"",$H19,($D19+$E19)/2)*INDEX(Summary!$C$6:$C$8,MATCH($P19,Summary!$B$6:$B$8,0)),0)</f>
        <v>0</v>
      </c>
      <c r="J19" s="20" t="s">
        <v>102</v>
      </c>
      <c r="K19" s="20" t="s">
        <v>103</v>
      </c>
      <c r="L19" s="24" t="s">
        <v>950</v>
      </c>
      <c r="M19" s="24" t="s">
        <v>960</v>
      </c>
      <c r="N19" s="19" t="s">
        <v>966</v>
      </c>
      <c r="O19" s="18" t="s">
        <v>106</v>
      </c>
      <c r="P19" s="20" t="s">
        <v>6</v>
      </c>
      <c r="Q19" s="18" t="s">
        <v>44</v>
      </c>
      <c r="R19" s="24" t="s">
        <v>967</v>
      </c>
      <c r="S19" s="18" t="s">
        <v>922</v>
      </c>
      <c r="T19" s="18"/>
      <c r="U19" s="25" t="n">
        <f aca="false">IF(AND($K19="Y",$F19&lt;&gt;"Y",OR($T19="",$T19=Summary!$C$11)),$C19*IF($H19&lt;&gt;"",$H19,$D19)*INDEX(Summary!$C$6:$C$8,MATCH($P19,Summary!$B$6:$B$8,0)),0)</f>
        <v>0</v>
      </c>
      <c r="V19" s="25" t="n">
        <f aca="false">IF(AND($K19="Y",$F19&lt;&gt;"Y",OR($T19="",$T19=Summary!$C$11)),$C19*IF($H19&lt;&gt;"",$H19,$E19)*INDEX(Summary!$C$6:$C$8,MATCH($P19,Summary!$B$6:$B$8,0)),0)</f>
        <v>0</v>
      </c>
      <c r="W19" s="18" t="s">
        <v>62</v>
      </c>
      <c r="X19" s="26" t="s">
        <v>968</v>
      </c>
    </row>
    <row r="20" customFormat="false" ht="30" hidden="false" customHeight="true" outlineLevel="0" collapsed="false">
      <c r="A20" s="18" t="s">
        <v>818</v>
      </c>
      <c r="B20" s="19" t="s">
        <v>969</v>
      </c>
      <c r="C20" s="20" t="n">
        <v>4</v>
      </c>
      <c r="D20" s="21"/>
      <c r="E20" s="21"/>
      <c r="F20" s="20" t="s">
        <v>101</v>
      </c>
      <c r="G20" s="20" t="s">
        <v>101</v>
      </c>
      <c r="H20" s="22"/>
      <c r="I20" s="23" t="n">
        <f aca="false">IF(AND($K20="Y",$F20&lt;&gt;"Y",OR($T20="",$T20=Summary!$C$11)),$C20*IF($H20&lt;&gt;"",$H20,($D20+$E20)/2)*INDEX(Summary!$C$6:$C$8,MATCH($P20,Summary!$B$6:$B$8,0)),0)</f>
        <v>0</v>
      </c>
      <c r="J20" s="20" t="s">
        <v>102</v>
      </c>
      <c r="K20" s="20" t="s">
        <v>103</v>
      </c>
      <c r="L20" s="24" t="s">
        <v>950</v>
      </c>
      <c r="M20" s="24" t="s">
        <v>970</v>
      </c>
      <c r="N20" s="19" t="s">
        <v>971</v>
      </c>
      <c r="O20" s="18" t="s">
        <v>972</v>
      </c>
      <c r="P20" s="20" t="s">
        <v>6</v>
      </c>
      <c r="Q20" s="18" t="s">
        <v>44</v>
      </c>
      <c r="R20" s="24" t="s">
        <v>973</v>
      </c>
      <c r="S20" s="18" t="s">
        <v>922</v>
      </c>
      <c r="T20" s="18"/>
      <c r="U20" s="25" t="n">
        <f aca="false">IF(AND($K20="Y",$F20&lt;&gt;"Y",OR($T20="",$T20=Summary!$C$11)),$C20*IF($H20&lt;&gt;"",$H20,$D20)*INDEX(Summary!$C$6:$C$8,MATCH($P20,Summary!$B$6:$B$8,0)),0)</f>
        <v>0</v>
      </c>
      <c r="V20" s="25" t="n">
        <f aca="false">IF(AND($K20="Y",$F20&lt;&gt;"Y",OR($T20="",$T20=Summary!$C$11)),$C20*IF($H20&lt;&gt;"",$H20,$E20)*INDEX(Summary!$C$6:$C$8,MATCH($P20,Summary!$B$6:$B$8,0)),0)</f>
        <v>0</v>
      </c>
      <c r="W20" s="18" t="s">
        <v>62</v>
      </c>
      <c r="X20" s="26" t="s">
        <v>974</v>
      </c>
    </row>
    <row r="21" customFormat="false" ht="30" hidden="false" customHeight="true" outlineLevel="0" collapsed="false">
      <c r="A21" s="18" t="s">
        <v>975</v>
      </c>
      <c r="B21" s="19" t="s">
        <v>976</v>
      </c>
      <c r="C21" s="20" t="n">
        <v>4</v>
      </c>
      <c r="D21" s="21"/>
      <c r="E21" s="21"/>
      <c r="F21" s="20" t="s">
        <v>101</v>
      </c>
      <c r="G21" s="20" t="s">
        <v>101</v>
      </c>
      <c r="H21" s="22"/>
      <c r="I21" s="23" t="n">
        <f aca="false">IF(AND($K21="Y",$F21&lt;&gt;"Y",OR($T21="",$T21=Summary!$C$11)),$C21*IF($H21&lt;&gt;"",$H21,($D21+$E21)/2)*INDEX(Summary!$C$6:$C$8,MATCH($P21,Summary!$B$6:$B$8,0)),0)</f>
        <v>0</v>
      </c>
      <c r="J21" s="20" t="s">
        <v>102</v>
      </c>
      <c r="K21" s="20" t="s">
        <v>103</v>
      </c>
      <c r="L21" s="24" t="s">
        <v>950</v>
      </c>
      <c r="M21" s="24" t="s">
        <v>970</v>
      </c>
      <c r="N21" s="19" t="s">
        <v>977</v>
      </c>
      <c r="O21" s="18" t="s">
        <v>106</v>
      </c>
      <c r="P21" s="20" t="s">
        <v>6</v>
      </c>
      <c r="Q21" s="18" t="s">
        <v>44</v>
      </c>
      <c r="R21" s="24" t="s">
        <v>978</v>
      </c>
      <c r="S21" s="18" t="s">
        <v>922</v>
      </c>
      <c r="T21" s="18"/>
      <c r="U21" s="25" t="n">
        <f aca="false">IF(AND($K21="Y",$F21&lt;&gt;"Y",OR($T21="",$T21=Summary!$C$11)),$C21*IF($H21&lt;&gt;"",$H21,$D21)*INDEX(Summary!$C$6:$C$8,MATCH($P21,Summary!$B$6:$B$8,0)),0)</f>
        <v>0</v>
      </c>
      <c r="V21" s="25" t="n">
        <f aca="false">IF(AND($K21="Y",$F21&lt;&gt;"Y",OR($T21="",$T21=Summary!$C$11)),$C21*IF($H21&lt;&gt;"",$H21,$E21)*INDEX(Summary!$C$6:$C$8,MATCH($P21,Summary!$B$6:$B$8,0)),0)</f>
        <v>0</v>
      </c>
      <c r="W21" s="18" t="s">
        <v>62</v>
      </c>
      <c r="X21" s="26" t="s">
        <v>979</v>
      </c>
    </row>
    <row r="22" customFormat="false" ht="30" hidden="false" customHeight="true" outlineLevel="0" collapsed="false">
      <c r="A22" s="18" t="s">
        <v>980</v>
      </c>
      <c r="B22" s="19" t="s">
        <v>981</v>
      </c>
      <c r="C22" s="20" t="n">
        <v>4</v>
      </c>
      <c r="D22" s="21"/>
      <c r="E22" s="21"/>
      <c r="F22" s="20" t="s">
        <v>101</v>
      </c>
      <c r="G22" s="20" t="s">
        <v>101</v>
      </c>
      <c r="H22" s="22"/>
      <c r="I22" s="23" t="n">
        <f aca="false">IF(AND($K22="Y",$F22&lt;&gt;"Y",OR($T22="",$T22=Summary!$C$11)),$C22*IF($H22&lt;&gt;"",$H22,($D22+$E22)/2)*INDEX(Summary!$C$6:$C$8,MATCH($P22,Summary!$B$6:$B$8,0)),0)</f>
        <v>0</v>
      </c>
      <c r="J22" s="20" t="s">
        <v>102</v>
      </c>
      <c r="K22" s="20" t="s">
        <v>103</v>
      </c>
      <c r="L22" s="24" t="s">
        <v>950</v>
      </c>
      <c r="M22" s="24" t="s">
        <v>970</v>
      </c>
      <c r="N22" s="19" t="s">
        <v>982</v>
      </c>
      <c r="O22" s="18" t="s">
        <v>106</v>
      </c>
      <c r="P22" s="20" t="s">
        <v>6</v>
      </c>
      <c r="Q22" s="18" t="s">
        <v>44</v>
      </c>
      <c r="R22" s="24" t="s">
        <v>983</v>
      </c>
      <c r="S22" s="18" t="s">
        <v>922</v>
      </c>
      <c r="T22" s="18"/>
      <c r="U22" s="25" t="n">
        <f aca="false">IF(AND($K22="Y",$F22&lt;&gt;"Y",OR($T22="",$T22=Summary!$C$11)),$C22*IF($H22&lt;&gt;"",$H22,$D22)*INDEX(Summary!$C$6:$C$8,MATCH($P22,Summary!$B$6:$B$8,0)),0)</f>
        <v>0</v>
      </c>
      <c r="V22" s="25" t="n">
        <f aca="false">IF(AND($K22="Y",$F22&lt;&gt;"Y",OR($T22="",$T22=Summary!$C$11)),$C22*IF($H22&lt;&gt;"",$H22,$E22)*INDEX(Summary!$C$6:$C$8,MATCH($P22,Summary!$B$6:$B$8,0)),0)</f>
        <v>0</v>
      </c>
      <c r="W22" s="18" t="s">
        <v>62</v>
      </c>
      <c r="X22" s="26"/>
    </row>
    <row r="23" customFormat="false" ht="30" hidden="false" customHeight="true" outlineLevel="0" collapsed="false">
      <c r="A23" s="18" t="s">
        <v>984</v>
      </c>
      <c r="B23" s="19" t="s">
        <v>985</v>
      </c>
      <c r="C23" s="20" t="n">
        <v>4</v>
      </c>
      <c r="D23" s="21"/>
      <c r="E23" s="21"/>
      <c r="F23" s="20" t="s">
        <v>101</v>
      </c>
      <c r="G23" s="20" t="s">
        <v>101</v>
      </c>
      <c r="H23" s="22"/>
      <c r="I23" s="23" t="n">
        <f aca="false">IF(AND($K23="Y",$F23&lt;&gt;"Y",OR($T23="",$T23=Summary!$C$11)),$C23*IF($H23&lt;&gt;"",$H23,($D23+$E23)/2)*INDEX(Summary!$C$6:$C$8,MATCH($P23,Summary!$B$6:$B$8,0)),0)</f>
        <v>0</v>
      </c>
      <c r="J23" s="20" t="s">
        <v>102</v>
      </c>
      <c r="K23" s="20" t="s">
        <v>103</v>
      </c>
      <c r="L23" s="24" t="s">
        <v>950</v>
      </c>
      <c r="M23" s="24" t="s">
        <v>986</v>
      </c>
      <c r="N23" s="19" t="s">
        <v>987</v>
      </c>
      <c r="O23" s="18" t="s">
        <v>106</v>
      </c>
      <c r="P23" s="20" t="s">
        <v>6</v>
      </c>
      <c r="Q23" s="18" t="s">
        <v>44</v>
      </c>
      <c r="R23" s="24" t="s">
        <v>988</v>
      </c>
      <c r="S23" s="18" t="s">
        <v>922</v>
      </c>
      <c r="T23" s="18"/>
      <c r="U23" s="25" t="n">
        <f aca="false">IF(AND($K23="Y",$F23&lt;&gt;"Y",OR($T23="",$T23=Summary!$C$11)),$C23*IF($H23&lt;&gt;"",$H23,$D23)*INDEX(Summary!$C$6:$C$8,MATCH($P23,Summary!$B$6:$B$8,0)),0)</f>
        <v>0</v>
      </c>
      <c r="V23" s="25" t="n">
        <f aca="false">IF(AND($K23="Y",$F23&lt;&gt;"Y",OR($T23="",$T23=Summary!$C$11)),$C23*IF($H23&lt;&gt;"",$H23,$E23)*INDEX(Summary!$C$6:$C$8,MATCH($P23,Summary!$B$6:$B$8,0)),0)</f>
        <v>0</v>
      </c>
      <c r="W23" s="18" t="s">
        <v>62</v>
      </c>
      <c r="X23" s="26" t="s">
        <v>989</v>
      </c>
    </row>
    <row r="24" customFormat="false" ht="30" hidden="false" customHeight="true" outlineLevel="0" collapsed="false">
      <c r="A24" s="18" t="s">
        <v>990</v>
      </c>
      <c r="B24" s="19" t="s">
        <v>991</v>
      </c>
      <c r="C24" s="20" t="n">
        <v>1</v>
      </c>
      <c r="D24" s="21"/>
      <c r="E24" s="21"/>
      <c r="F24" s="20" t="s">
        <v>101</v>
      </c>
      <c r="G24" s="20" t="s">
        <v>101</v>
      </c>
      <c r="H24" s="22" t="n">
        <v>185</v>
      </c>
      <c r="I24" s="23" t="n">
        <f aca="false">IF(AND($K24="Y",$F24&lt;&gt;"Y",OR($T24="",$T24=Summary!$C$11)),$C24*IF($H24&lt;&gt;"",$H24,($D24+$E24)/2)*INDEX(Summary!$C$6:$C$8,MATCH($P24,Summary!$B$6:$B$8,0)),0)</f>
        <v>185</v>
      </c>
      <c r="J24" s="20" t="s">
        <v>102</v>
      </c>
      <c r="K24" s="20" t="s">
        <v>103</v>
      </c>
      <c r="L24" s="24" t="s">
        <v>992</v>
      </c>
      <c r="M24" s="24" t="s">
        <v>993</v>
      </c>
      <c r="N24" s="19" t="s">
        <v>994</v>
      </c>
      <c r="O24" s="18" t="s">
        <v>160</v>
      </c>
      <c r="P24" s="20" t="s">
        <v>6</v>
      </c>
      <c r="Q24" s="18" t="s">
        <v>44</v>
      </c>
      <c r="R24" s="24" t="s">
        <v>995</v>
      </c>
      <c r="S24" s="18" t="s">
        <v>922</v>
      </c>
      <c r="T24" s="18"/>
      <c r="U24" s="25" t="n">
        <f aca="false">IF(AND($K24="Y",$F24&lt;&gt;"Y",OR($T24="",$T24=Summary!$C$11)),$C24*IF($H24&lt;&gt;"",$H24,$D24)*INDEX(Summary!$C$6:$C$8,MATCH($P24,Summary!$B$6:$B$8,0)),0)</f>
        <v>185</v>
      </c>
      <c r="V24" s="25" t="n">
        <f aca="false">IF(AND($K24="Y",$F24&lt;&gt;"Y",OR($T24="",$T24=Summary!$C$11)),$C24*IF($H24&lt;&gt;"",$H24,$E24)*INDEX(Summary!$C$6:$C$8,MATCH($P24,Summary!$B$6:$B$8,0)),0)</f>
        <v>185</v>
      </c>
      <c r="W24" s="18" t="s">
        <v>219</v>
      </c>
      <c r="X24" s="26" t="s">
        <v>996</v>
      </c>
    </row>
    <row r="25" customFormat="false" ht="30" hidden="false" customHeight="true" outlineLevel="0" collapsed="false">
      <c r="A25" s="18" t="s">
        <v>997</v>
      </c>
      <c r="B25" s="19" t="s">
        <v>998</v>
      </c>
      <c r="C25" s="20" t="n">
        <v>1</v>
      </c>
      <c r="D25" s="21"/>
      <c r="E25" s="21"/>
      <c r="F25" s="20" t="s">
        <v>103</v>
      </c>
      <c r="G25" s="20" t="s">
        <v>101</v>
      </c>
      <c r="H25" s="22"/>
      <c r="I25" s="23" t="n">
        <f aca="false">IF(AND($K25="Y",$F25&lt;&gt;"Y",OR($T25="",$T25=Summary!$C$11)),$C25*IF($H25&lt;&gt;"",$H25,($D25+$E25)/2)*INDEX(Summary!$C$6:$C$8,MATCH($P25,Summary!$B$6:$B$8,0)),0)</f>
        <v>0</v>
      </c>
      <c r="J25" s="20" t="s">
        <v>46</v>
      </c>
      <c r="K25" s="20" t="s">
        <v>103</v>
      </c>
      <c r="L25" s="24" t="s">
        <v>992</v>
      </c>
      <c r="M25" s="24" t="s">
        <v>993</v>
      </c>
      <c r="N25" s="19" t="s">
        <v>999</v>
      </c>
      <c r="O25" s="18" t="s">
        <v>106</v>
      </c>
      <c r="P25" s="20" t="s">
        <v>6</v>
      </c>
      <c r="Q25" s="18" t="s">
        <v>46</v>
      </c>
      <c r="R25" s="24" t="s">
        <v>7</v>
      </c>
      <c r="S25" s="18" t="s">
        <v>922</v>
      </c>
      <c r="T25" s="18"/>
      <c r="U25" s="25" t="n">
        <f aca="false">IF(AND($K25="Y",$F25&lt;&gt;"Y",OR($T25="",$T25=Summary!$C$11)),$C25*IF($H25&lt;&gt;"",$H25,$D25)*INDEX(Summary!$C$6:$C$8,MATCH($P25,Summary!$B$6:$B$8,0)),0)</f>
        <v>0</v>
      </c>
      <c r="V25" s="25" t="n">
        <f aca="false">IF(AND($K25="Y",$F25&lt;&gt;"Y",OR($T25="",$T25=Summary!$C$11)),$C25*IF($H25&lt;&gt;"",$H25,$E25)*INDEX(Summary!$C$6:$C$8,MATCH($P25,Summary!$B$6:$B$8,0)),0)</f>
        <v>0</v>
      </c>
      <c r="W25" s="18" t="s">
        <v>62</v>
      </c>
      <c r="X25" s="26"/>
    </row>
    <row r="26" customFormat="false" ht="30" hidden="false" customHeight="true" outlineLevel="0" collapsed="false">
      <c r="A26" s="18" t="s">
        <v>1000</v>
      </c>
      <c r="B26" s="19" t="s">
        <v>1001</v>
      </c>
      <c r="C26" s="20" t="n">
        <v>1</v>
      </c>
      <c r="D26" s="21"/>
      <c r="E26" s="21"/>
      <c r="F26" s="20" t="s">
        <v>101</v>
      </c>
      <c r="G26" s="20" t="s">
        <v>101</v>
      </c>
      <c r="H26" s="22"/>
      <c r="I26" s="23" t="n">
        <f aca="false">IF(AND($K26="Y",$F26&lt;&gt;"Y",OR($T26="",$T26=Summary!$C$11)),$C26*IF($H26&lt;&gt;"",$H26,($D26+$E26)/2)*INDEX(Summary!$C$6:$C$8,MATCH($P26,Summary!$B$6:$B$8,0)),0)</f>
        <v>0</v>
      </c>
      <c r="J26" s="20" t="s">
        <v>102</v>
      </c>
      <c r="K26" s="20" t="s">
        <v>103</v>
      </c>
      <c r="L26" s="24" t="s">
        <v>992</v>
      </c>
      <c r="M26" s="24" t="s">
        <v>993</v>
      </c>
      <c r="N26" s="19" t="s">
        <v>1002</v>
      </c>
      <c r="O26" s="18" t="s">
        <v>106</v>
      </c>
      <c r="P26" s="20" t="s">
        <v>6</v>
      </c>
      <c r="Q26" s="18" t="s">
        <v>44</v>
      </c>
      <c r="R26" s="24" t="s">
        <v>1003</v>
      </c>
      <c r="S26" s="18" t="s">
        <v>922</v>
      </c>
      <c r="T26" s="18"/>
      <c r="U26" s="25" t="n">
        <f aca="false">IF(AND($K26="Y",$F26&lt;&gt;"Y",OR($T26="",$T26=Summary!$C$11)),$C26*IF($H26&lt;&gt;"",$H26,$D26)*INDEX(Summary!$C$6:$C$8,MATCH($P26,Summary!$B$6:$B$8,0)),0)</f>
        <v>0</v>
      </c>
      <c r="V26" s="25" t="n">
        <f aca="false">IF(AND($K26="Y",$F26&lt;&gt;"Y",OR($T26="",$T26=Summary!$C$11)),$C26*IF($H26&lt;&gt;"",$H26,$E26)*INDEX(Summary!$C$6:$C$8,MATCH($P26,Summary!$B$6:$B$8,0)),0)</f>
        <v>0</v>
      </c>
      <c r="W26" s="18" t="s">
        <v>62</v>
      </c>
      <c r="X26" s="26" t="s">
        <v>1004</v>
      </c>
    </row>
    <row r="27" customFormat="false" ht="30" hidden="false" customHeight="true" outlineLevel="0" collapsed="false">
      <c r="A27" s="18" t="s">
        <v>1005</v>
      </c>
      <c r="B27" s="19" t="s">
        <v>1006</v>
      </c>
      <c r="C27" s="20" t="n">
        <v>6</v>
      </c>
      <c r="D27" s="21"/>
      <c r="E27" s="21"/>
      <c r="F27" s="20" t="s">
        <v>101</v>
      </c>
      <c r="G27" s="20" t="s">
        <v>101</v>
      </c>
      <c r="H27" s="22"/>
      <c r="I27" s="23" t="n">
        <f aca="false">IF(AND($K27="Y",$F27&lt;&gt;"Y",OR($T27="",$T27=Summary!$C$11)),$C27*IF($H27&lt;&gt;"",$H27,($D27+$E27)/2)*INDEX(Summary!$C$6:$C$8,MATCH($P27,Summary!$B$6:$B$8,0)),0)</f>
        <v>0</v>
      </c>
      <c r="J27" s="20" t="s">
        <v>102</v>
      </c>
      <c r="K27" s="20" t="s">
        <v>103</v>
      </c>
      <c r="L27" s="24" t="s">
        <v>992</v>
      </c>
      <c r="M27" s="24" t="s">
        <v>1007</v>
      </c>
      <c r="N27" s="19" t="s">
        <v>1008</v>
      </c>
      <c r="O27" s="18" t="s">
        <v>106</v>
      </c>
      <c r="P27" s="20" t="s">
        <v>6</v>
      </c>
      <c r="Q27" s="18" t="s">
        <v>44</v>
      </c>
      <c r="R27" s="24" t="s">
        <v>1009</v>
      </c>
      <c r="S27" s="18" t="s">
        <v>922</v>
      </c>
      <c r="T27" s="18"/>
      <c r="U27" s="25" t="n">
        <f aca="false">IF(AND($K27="Y",$F27&lt;&gt;"Y",OR($T27="",$T27=Summary!$C$11)),$C27*IF($H27&lt;&gt;"",$H27,$D27)*INDEX(Summary!$C$6:$C$8,MATCH($P27,Summary!$B$6:$B$8,0)),0)</f>
        <v>0</v>
      </c>
      <c r="V27" s="25" t="n">
        <f aca="false">IF(AND($K27="Y",$F27&lt;&gt;"Y",OR($T27="",$T27=Summary!$C$11)),$C27*IF($H27&lt;&gt;"",$H27,$E27)*INDEX(Summary!$C$6:$C$8,MATCH($P27,Summary!$B$6:$B$8,0)),0)</f>
        <v>0</v>
      </c>
      <c r="W27" s="18" t="s">
        <v>62</v>
      </c>
      <c r="X27" s="26" t="s">
        <v>1010</v>
      </c>
    </row>
    <row r="28" customFormat="false" ht="30" hidden="false" customHeight="true" outlineLevel="0" collapsed="false">
      <c r="A28" s="18" t="s">
        <v>1011</v>
      </c>
      <c r="B28" s="19" t="s">
        <v>1012</v>
      </c>
      <c r="C28" s="20" t="n">
        <v>1</v>
      </c>
      <c r="D28" s="21"/>
      <c r="E28" s="21"/>
      <c r="F28" s="20" t="s">
        <v>101</v>
      </c>
      <c r="G28" s="20" t="s">
        <v>101</v>
      </c>
      <c r="H28" s="22"/>
      <c r="I28" s="23" t="n">
        <f aca="false">IF(AND($K28="Y",$F28&lt;&gt;"Y",OR($T28="",$T28=Summary!$C$11)),$C28*IF($H28&lt;&gt;"",$H28,($D28+$E28)/2)*INDEX(Summary!$C$6:$C$8,MATCH($P28,Summary!$B$6:$B$8,0)),0)</f>
        <v>0</v>
      </c>
      <c r="J28" s="20" t="s">
        <v>102</v>
      </c>
      <c r="K28" s="20" t="s">
        <v>103</v>
      </c>
      <c r="L28" s="24" t="s">
        <v>992</v>
      </c>
      <c r="M28" s="24" t="s">
        <v>1007</v>
      </c>
      <c r="N28" s="19"/>
      <c r="O28" s="18" t="s">
        <v>106</v>
      </c>
      <c r="P28" s="20" t="s">
        <v>6</v>
      </c>
      <c r="Q28" s="18" t="s">
        <v>44</v>
      </c>
      <c r="R28" s="24" t="s">
        <v>983</v>
      </c>
      <c r="S28" s="18" t="s">
        <v>922</v>
      </c>
      <c r="T28" s="18"/>
      <c r="U28" s="25" t="n">
        <f aca="false">IF(AND($K28="Y",$F28&lt;&gt;"Y",OR($T28="",$T28=Summary!$C$11)),$C28*IF($H28&lt;&gt;"",$H28,$D28)*INDEX(Summary!$C$6:$C$8,MATCH($P28,Summary!$B$6:$B$8,0)),0)</f>
        <v>0</v>
      </c>
      <c r="V28" s="25" t="n">
        <f aca="false">IF(AND($K28="Y",$F28&lt;&gt;"Y",OR($T28="",$T28=Summary!$C$11)),$C28*IF($H28&lt;&gt;"",$H28,$E28)*INDEX(Summary!$C$6:$C$8,MATCH($P28,Summary!$B$6:$B$8,0)),0)</f>
        <v>0</v>
      </c>
      <c r="W28" s="18" t="s">
        <v>62</v>
      </c>
      <c r="X28" s="26"/>
    </row>
    <row r="29" customFormat="false" ht="30" hidden="false" customHeight="true" outlineLevel="0" collapsed="false">
      <c r="A29" s="18" t="s">
        <v>1013</v>
      </c>
      <c r="B29" s="19" t="s">
        <v>1014</v>
      </c>
      <c r="C29" s="20" t="n">
        <v>15</v>
      </c>
      <c r="D29" s="21"/>
      <c r="E29" s="21"/>
      <c r="F29" s="20" t="s">
        <v>101</v>
      </c>
      <c r="G29" s="20" t="s">
        <v>101</v>
      </c>
      <c r="H29" s="22"/>
      <c r="I29" s="23" t="n">
        <f aca="false">IF(AND($K29="Y",$F29&lt;&gt;"Y",OR($T29="",$T29=Summary!$C$11)),$C29*IF($H29&lt;&gt;"",$H29,($D29+$E29)/2)*INDEX(Summary!$C$6:$C$8,MATCH($P29,Summary!$B$6:$B$8,0)),0)</f>
        <v>0</v>
      </c>
      <c r="J29" s="20" t="s">
        <v>102</v>
      </c>
      <c r="K29" s="20" t="s">
        <v>103</v>
      </c>
      <c r="L29" s="24" t="s">
        <v>992</v>
      </c>
      <c r="M29" s="24" t="s">
        <v>1015</v>
      </c>
      <c r="N29" s="19" t="s">
        <v>1016</v>
      </c>
      <c r="O29" s="18" t="s">
        <v>1017</v>
      </c>
      <c r="P29" s="20" t="s">
        <v>6</v>
      </c>
      <c r="Q29" s="18" t="s">
        <v>44</v>
      </c>
      <c r="R29" s="24" t="s">
        <v>983</v>
      </c>
      <c r="S29" s="18" t="s">
        <v>922</v>
      </c>
      <c r="T29" s="18"/>
      <c r="U29" s="25" t="n">
        <f aca="false">IF(AND($K29="Y",$F29&lt;&gt;"Y",OR($T29="",$T29=Summary!$C$11)),$C29*IF($H29&lt;&gt;"",$H29,$D29)*INDEX(Summary!$C$6:$C$8,MATCH($P29,Summary!$B$6:$B$8,0)),0)</f>
        <v>0</v>
      </c>
      <c r="V29" s="25" t="n">
        <f aca="false">IF(AND($K29="Y",$F29&lt;&gt;"Y",OR($T29="",$T29=Summary!$C$11)),$C29*IF($H29&lt;&gt;"",$H29,$E29)*INDEX(Summary!$C$6:$C$8,MATCH($P29,Summary!$B$6:$B$8,0)),0)</f>
        <v>0</v>
      </c>
      <c r="W29" s="18" t="s">
        <v>62</v>
      </c>
      <c r="X29" s="26"/>
    </row>
    <row r="30" customFormat="false" ht="30" hidden="false" customHeight="true" outlineLevel="0" collapsed="false">
      <c r="A30" s="18" t="s">
        <v>1018</v>
      </c>
      <c r="B30" s="19" t="s">
        <v>1019</v>
      </c>
      <c r="C30" s="20" t="n">
        <v>10</v>
      </c>
      <c r="D30" s="21"/>
      <c r="E30" s="21"/>
      <c r="F30" s="20" t="s">
        <v>101</v>
      </c>
      <c r="G30" s="20" t="s">
        <v>101</v>
      </c>
      <c r="H30" s="22"/>
      <c r="I30" s="23" t="n">
        <f aca="false">IF(AND($K30="Y",$F30&lt;&gt;"Y",OR($T30="",$T30=Summary!$C$11)),$C30*IF($H30&lt;&gt;"",$H30,($D30+$E30)/2)*INDEX(Summary!$C$6:$C$8,MATCH($P30,Summary!$B$6:$B$8,0)),0)</f>
        <v>0</v>
      </c>
      <c r="J30" s="20" t="s">
        <v>102</v>
      </c>
      <c r="K30" s="20" t="s">
        <v>103</v>
      </c>
      <c r="L30" s="24" t="s">
        <v>992</v>
      </c>
      <c r="M30" s="24" t="s">
        <v>1015</v>
      </c>
      <c r="N30" s="19"/>
      <c r="O30" s="18" t="s">
        <v>1017</v>
      </c>
      <c r="P30" s="20" t="s">
        <v>6</v>
      </c>
      <c r="Q30" s="18" t="s">
        <v>44</v>
      </c>
      <c r="R30" s="24" t="s">
        <v>983</v>
      </c>
      <c r="S30" s="18" t="s">
        <v>922</v>
      </c>
      <c r="T30" s="18"/>
      <c r="U30" s="25" t="n">
        <f aca="false">IF(AND($K30="Y",$F30&lt;&gt;"Y",OR($T30="",$T30=Summary!$C$11)),$C30*IF($H30&lt;&gt;"",$H30,$D30)*INDEX(Summary!$C$6:$C$8,MATCH($P30,Summary!$B$6:$B$8,0)),0)</f>
        <v>0</v>
      </c>
      <c r="V30" s="25" t="n">
        <f aca="false">IF(AND($K30="Y",$F30&lt;&gt;"Y",OR($T30="",$T30=Summary!$C$11)),$C30*IF($H30&lt;&gt;"",$H30,$E30)*INDEX(Summary!$C$6:$C$8,MATCH($P30,Summary!$B$6:$B$8,0)),0)</f>
        <v>0</v>
      </c>
      <c r="W30" s="18" t="s">
        <v>62</v>
      </c>
      <c r="X30" s="26"/>
    </row>
    <row r="31" customFormat="false" ht="30" hidden="false" customHeight="true" outlineLevel="0" collapsed="false">
      <c r="A31" s="18" t="s">
        <v>1020</v>
      </c>
      <c r="B31" s="19" t="s">
        <v>1021</v>
      </c>
      <c r="C31" s="20" t="n">
        <v>2</v>
      </c>
      <c r="D31" s="21"/>
      <c r="E31" s="21"/>
      <c r="F31" s="20" t="s">
        <v>101</v>
      </c>
      <c r="G31" s="20" t="s">
        <v>101</v>
      </c>
      <c r="H31" s="22"/>
      <c r="I31" s="23" t="n">
        <f aca="false">IF(AND($K31="Y",$F31&lt;&gt;"Y",OR($T31="",$T31=Summary!$C$11)),$C31*IF($H31&lt;&gt;"",$H31,($D31+$E31)/2)*INDEX(Summary!$C$6:$C$8,MATCH($P31,Summary!$B$6:$B$8,0)),0)</f>
        <v>0</v>
      </c>
      <c r="J31" s="20" t="s">
        <v>102</v>
      </c>
      <c r="K31" s="20" t="s">
        <v>103</v>
      </c>
      <c r="L31" s="24" t="s">
        <v>992</v>
      </c>
      <c r="M31" s="24" t="s">
        <v>1015</v>
      </c>
      <c r="N31" s="19" t="s">
        <v>1022</v>
      </c>
      <c r="O31" s="18" t="s">
        <v>1017</v>
      </c>
      <c r="P31" s="20" t="s">
        <v>6</v>
      </c>
      <c r="Q31" s="18" t="s">
        <v>44</v>
      </c>
      <c r="R31" s="24" t="s">
        <v>983</v>
      </c>
      <c r="S31" s="18" t="s">
        <v>922</v>
      </c>
      <c r="T31" s="18"/>
      <c r="U31" s="25" t="n">
        <f aca="false">IF(AND($K31="Y",$F31&lt;&gt;"Y",OR($T31="",$T31=Summary!$C$11)),$C31*IF($H31&lt;&gt;"",$H31,$D31)*INDEX(Summary!$C$6:$C$8,MATCH($P31,Summary!$B$6:$B$8,0)),0)</f>
        <v>0</v>
      </c>
      <c r="V31" s="25" t="n">
        <f aca="false">IF(AND($K31="Y",$F31&lt;&gt;"Y",OR($T31="",$T31=Summary!$C$11)),$C31*IF($H31&lt;&gt;"",$H31,$E31)*INDEX(Summary!$C$6:$C$8,MATCH($P31,Summary!$B$6:$B$8,0)),0)</f>
        <v>0</v>
      </c>
      <c r="W31" s="18" t="s">
        <v>62</v>
      </c>
      <c r="X31" s="26"/>
    </row>
    <row r="32" customFormat="false" ht="30" hidden="false" customHeight="true" outlineLevel="0" collapsed="false">
      <c r="A32" s="18" t="s">
        <v>1023</v>
      </c>
      <c r="B32" s="19" t="s">
        <v>1024</v>
      </c>
      <c r="C32" s="20" t="n">
        <v>1</v>
      </c>
      <c r="D32" s="21"/>
      <c r="E32" s="21"/>
      <c r="F32" s="20" t="s">
        <v>101</v>
      </c>
      <c r="G32" s="20" t="s">
        <v>101</v>
      </c>
      <c r="H32" s="22"/>
      <c r="I32" s="23" t="n">
        <f aca="false">IF(AND($K32="Y",$F32&lt;&gt;"Y",OR($T32="",$T32=Summary!$C$11)),$C32*IF($H32&lt;&gt;"",$H32,($D32+$E32)/2)*INDEX(Summary!$C$6:$C$8,MATCH($P32,Summary!$B$6:$B$8,0)),0)</f>
        <v>0</v>
      </c>
      <c r="J32" s="20" t="s">
        <v>102</v>
      </c>
      <c r="K32" s="20" t="s">
        <v>103</v>
      </c>
      <c r="L32" s="24" t="s">
        <v>992</v>
      </c>
      <c r="M32" s="24" t="s">
        <v>1015</v>
      </c>
      <c r="N32" s="19"/>
      <c r="O32" s="18" t="s">
        <v>212</v>
      </c>
      <c r="P32" s="20" t="s">
        <v>6</v>
      </c>
      <c r="Q32" s="18" t="s">
        <v>44</v>
      </c>
      <c r="R32" s="24" t="s">
        <v>948</v>
      </c>
      <c r="S32" s="18" t="s">
        <v>922</v>
      </c>
      <c r="T32" s="18"/>
      <c r="U32" s="25" t="n">
        <f aca="false">IF(AND($K32="Y",$F32&lt;&gt;"Y",OR($T32="",$T32=Summary!$C$11)),$C32*IF($H32&lt;&gt;"",$H32,$D32)*INDEX(Summary!$C$6:$C$8,MATCH($P32,Summary!$B$6:$B$8,0)),0)</f>
        <v>0</v>
      </c>
      <c r="V32" s="25" t="n">
        <f aca="false">IF(AND($K32="Y",$F32&lt;&gt;"Y",OR($T32="",$T32=Summary!$C$11)),$C32*IF($H32&lt;&gt;"",$H32,$E32)*INDEX(Summary!$C$6:$C$8,MATCH($P32,Summary!$B$6:$B$8,0)),0)</f>
        <v>0</v>
      </c>
      <c r="W32" s="18" t="s">
        <v>62</v>
      </c>
      <c r="X32" s="26"/>
    </row>
    <row r="33" customFormat="false" ht="30" hidden="false" customHeight="true" outlineLevel="0" collapsed="false">
      <c r="A33" s="18" t="s">
        <v>1025</v>
      </c>
      <c r="B33" s="19" t="s">
        <v>1026</v>
      </c>
      <c r="C33" s="20" t="n">
        <v>1</v>
      </c>
      <c r="D33" s="21"/>
      <c r="E33" s="21"/>
      <c r="F33" s="20" t="s">
        <v>101</v>
      </c>
      <c r="G33" s="20" t="s">
        <v>101</v>
      </c>
      <c r="H33" s="22"/>
      <c r="I33" s="23" t="n">
        <f aca="false">IF(AND($K33="Y",$F33&lt;&gt;"Y",OR($T33="",$T33=Summary!$C$11)),$C33*IF($H33&lt;&gt;"",$H33,($D33+$E33)/2)*INDEX(Summary!$C$6:$C$8,MATCH($P33,Summary!$B$6:$B$8,0)),0)</f>
        <v>0</v>
      </c>
      <c r="J33" s="20" t="s">
        <v>126</v>
      </c>
      <c r="K33" s="20" t="s">
        <v>103</v>
      </c>
      <c r="L33" s="24" t="s">
        <v>992</v>
      </c>
      <c r="M33" s="24" t="s">
        <v>1027</v>
      </c>
      <c r="N33" s="19" t="s">
        <v>1028</v>
      </c>
      <c r="O33" s="18" t="s">
        <v>106</v>
      </c>
      <c r="P33" s="20" t="s">
        <v>6</v>
      </c>
      <c r="Q33" s="18" t="s">
        <v>45</v>
      </c>
      <c r="R33" s="24" t="s">
        <v>7</v>
      </c>
      <c r="S33" s="18" t="s">
        <v>922</v>
      </c>
      <c r="T33" s="18"/>
      <c r="U33" s="25" t="n">
        <f aca="false">IF(AND($K33="Y",$F33&lt;&gt;"Y",OR($T33="",$T33=Summary!$C$11)),$C33*IF($H33&lt;&gt;"",$H33,$D33)*INDEX(Summary!$C$6:$C$8,MATCH($P33,Summary!$B$6:$B$8,0)),0)</f>
        <v>0</v>
      </c>
      <c r="V33" s="25" t="n">
        <f aca="false">IF(AND($K33="Y",$F33&lt;&gt;"Y",OR($T33="",$T33=Summary!$C$11)),$C33*IF($H33&lt;&gt;"",$H33,$E33)*INDEX(Summary!$C$6:$C$8,MATCH($P33,Summary!$B$6:$B$8,0)),0)</f>
        <v>0</v>
      </c>
      <c r="W33" s="18" t="s">
        <v>62</v>
      </c>
      <c r="X33" s="26"/>
    </row>
    <row r="34" customFormat="false" ht="30" hidden="false" customHeight="true" outlineLevel="0" collapsed="false">
      <c r="A34" s="18" t="s">
        <v>1029</v>
      </c>
      <c r="B34" s="19" t="s">
        <v>1030</v>
      </c>
      <c r="C34" s="20" t="n">
        <v>1</v>
      </c>
      <c r="D34" s="21"/>
      <c r="E34" s="21"/>
      <c r="F34" s="20" t="s">
        <v>101</v>
      </c>
      <c r="G34" s="20" t="s">
        <v>101</v>
      </c>
      <c r="H34" s="22"/>
      <c r="I34" s="23" t="n">
        <f aca="false">IF(AND($K34="Y",$F34&lt;&gt;"Y",OR($T34="",$T34=Summary!$C$11)),$C34*IF($H34&lt;&gt;"",$H34,($D34+$E34)/2)*INDEX(Summary!$C$6:$C$8,MATCH($P34,Summary!$B$6:$B$8,0)),0)</f>
        <v>0</v>
      </c>
      <c r="J34" s="20" t="s">
        <v>126</v>
      </c>
      <c r="K34" s="20" t="s">
        <v>101</v>
      </c>
      <c r="L34" s="24" t="s">
        <v>992</v>
      </c>
      <c r="M34" s="24" t="s">
        <v>1027</v>
      </c>
      <c r="N34" s="19" t="s">
        <v>1031</v>
      </c>
      <c r="O34" s="18" t="s">
        <v>106</v>
      </c>
      <c r="P34" s="20" t="s">
        <v>6</v>
      </c>
      <c r="Q34" s="18" t="s">
        <v>44</v>
      </c>
      <c r="R34" s="24" t="s">
        <v>983</v>
      </c>
      <c r="S34" s="18" t="s">
        <v>922</v>
      </c>
      <c r="T34" s="18"/>
      <c r="U34" s="25" t="n">
        <f aca="false">IF(AND($K34="Y",$F34&lt;&gt;"Y",OR($T34="",$T34=Summary!$C$11)),$C34*IF($H34&lt;&gt;"",$H34,$D34)*INDEX(Summary!$C$6:$C$8,MATCH($P34,Summary!$B$6:$B$8,0)),0)</f>
        <v>0</v>
      </c>
      <c r="V34" s="25" t="n">
        <f aca="false">IF(AND($K34="Y",$F34&lt;&gt;"Y",OR($T34="",$T34=Summary!$C$11)),$C34*IF($H34&lt;&gt;"",$H34,$E34)*INDEX(Summary!$C$6:$C$8,MATCH($P34,Summary!$B$6:$B$8,0)),0)</f>
        <v>0</v>
      </c>
      <c r="W34" s="18" t="s">
        <v>62</v>
      </c>
      <c r="X34" s="26"/>
    </row>
    <row r="35" customFormat="false" ht="30" hidden="false" customHeight="true" outlineLevel="0" collapsed="false">
      <c r="A35" s="18" t="s">
        <v>1032</v>
      </c>
      <c r="B35" s="19" t="s">
        <v>1033</v>
      </c>
      <c r="C35" s="20" t="n">
        <v>1</v>
      </c>
      <c r="D35" s="21"/>
      <c r="E35" s="21"/>
      <c r="F35" s="20" t="s">
        <v>101</v>
      </c>
      <c r="G35" s="20" t="s">
        <v>101</v>
      </c>
      <c r="H35" s="22"/>
      <c r="I35" s="23" t="n">
        <f aca="false">IF(AND($K35="Y",$F35&lt;&gt;"Y",OR($T35="",$T35=Summary!$C$11)),$C35*IF($H35&lt;&gt;"",$H35,($D35+$E35)/2)*INDEX(Summary!$C$6:$C$8,MATCH($P35,Summary!$B$6:$B$8,0)),0)</f>
        <v>0</v>
      </c>
      <c r="J35" s="20" t="s">
        <v>207</v>
      </c>
      <c r="K35" s="20" t="s">
        <v>101</v>
      </c>
      <c r="L35" s="24" t="s">
        <v>992</v>
      </c>
      <c r="M35" s="24" t="s">
        <v>993</v>
      </c>
      <c r="N35" s="19" t="s">
        <v>1034</v>
      </c>
      <c r="O35" s="18" t="s">
        <v>106</v>
      </c>
      <c r="P35" s="20" t="s">
        <v>6</v>
      </c>
      <c r="Q35" s="18" t="s">
        <v>44</v>
      </c>
      <c r="R35" s="24" t="s">
        <v>7</v>
      </c>
      <c r="S35" s="18" t="s">
        <v>922</v>
      </c>
      <c r="T35" s="18"/>
      <c r="U35" s="25" t="n">
        <f aca="false">IF(AND($K35="Y",$F35&lt;&gt;"Y",OR($T35="",$T35=Summary!$C$11)),$C35*IF($H35&lt;&gt;"",$H35,$D35)*INDEX(Summary!$C$6:$C$8,MATCH($P35,Summary!$B$6:$B$8,0)),0)</f>
        <v>0</v>
      </c>
      <c r="V35" s="25" t="n">
        <f aca="false">IF(AND($K35="Y",$F35&lt;&gt;"Y",OR($T35="",$T35=Summary!$C$11)),$C35*IF($H35&lt;&gt;"",$H35,$E35)*INDEX(Summary!$C$6:$C$8,MATCH($P35,Summary!$B$6:$B$8,0)),0)</f>
        <v>0</v>
      </c>
      <c r="W35" s="18" t="s">
        <v>62</v>
      </c>
      <c r="X35" s="26"/>
    </row>
    <row r="36" customFormat="false" ht="30" hidden="false" customHeight="true" outlineLevel="0" collapsed="false">
      <c r="A36" s="18" t="s">
        <v>1035</v>
      </c>
      <c r="B36" s="19" t="s">
        <v>1036</v>
      </c>
      <c r="C36" s="20" t="n">
        <v>1</v>
      </c>
      <c r="D36" s="21"/>
      <c r="E36" s="21"/>
      <c r="F36" s="20" t="s">
        <v>101</v>
      </c>
      <c r="G36" s="20" t="s">
        <v>101</v>
      </c>
      <c r="H36" s="22"/>
      <c r="I36" s="23" t="n">
        <f aca="false">IF(AND($K36="Y",$F36&lt;&gt;"Y",OR($T36="",$T36=Summary!$C$11)),$C36*IF($H36&lt;&gt;"",$H36,($D36+$E36)/2)*INDEX(Summary!$C$6:$C$8,MATCH($P36,Summary!$B$6:$B$8,0)),0)</f>
        <v>0</v>
      </c>
      <c r="J36" s="20" t="s">
        <v>157</v>
      </c>
      <c r="K36" s="20" t="s">
        <v>103</v>
      </c>
      <c r="L36" s="24" t="s">
        <v>1037</v>
      </c>
      <c r="M36" s="24" t="s">
        <v>1038</v>
      </c>
      <c r="N36" s="19" t="s">
        <v>1039</v>
      </c>
      <c r="O36" s="18" t="s">
        <v>106</v>
      </c>
      <c r="P36" s="20" t="s">
        <v>6</v>
      </c>
      <c r="Q36" s="18" t="s">
        <v>44</v>
      </c>
      <c r="R36" s="24" t="s">
        <v>1040</v>
      </c>
      <c r="S36" s="18" t="s">
        <v>922</v>
      </c>
      <c r="T36" s="18"/>
      <c r="U36" s="25" t="n">
        <f aca="false">IF(AND($K36="Y",$F36&lt;&gt;"Y",OR($T36="",$T36=Summary!$C$11)),$C36*IF($H36&lt;&gt;"",$H36,$D36)*INDEX(Summary!$C$6:$C$8,MATCH($P36,Summary!$B$6:$B$8,0)),0)</f>
        <v>0</v>
      </c>
      <c r="V36" s="25" t="n">
        <f aca="false">IF(AND($K36="Y",$F36&lt;&gt;"Y",OR($T36="",$T36=Summary!$C$11)),$C36*IF($H36&lt;&gt;"",$H36,$E36)*INDEX(Summary!$C$6:$C$8,MATCH($P36,Summary!$B$6:$B$8,0)),0)</f>
        <v>0</v>
      </c>
      <c r="W36" s="18" t="s">
        <v>62</v>
      </c>
      <c r="X36" s="26"/>
    </row>
    <row r="37" customFormat="false" ht="30" hidden="false" customHeight="true" outlineLevel="0" collapsed="false">
      <c r="A37" s="18" t="s">
        <v>1041</v>
      </c>
      <c r="B37" s="19" t="s">
        <v>1042</v>
      </c>
      <c r="C37" s="20" t="n">
        <v>1</v>
      </c>
      <c r="D37" s="21"/>
      <c r="E37" s="21"/>
      <c r="F37" s="20" t="s">
        <v>101</v>
      </c>
      <c r="G37" s="20" t="s">
        <v>101</v>
      </c>
      <c r="H37" s="22"/>
      <c r="I37" s="23" t="n">
        <f aca="false">IF(AND($K37="Y",$F37&lt;&gt;"Y",OR($T37="",$T37=Summary!$C$11)),$C37*IF($H37&lt;&gt;"",$H37,($D37+$E37)/2)*INDEX(Summary!$C$6:$C$8,MATCH($P37,Summary!$B$6:$B$8,0)),0)</f>
        <v>0</v>
      </c>
      <c r="J37" s="20" t="s">
        <v>102</v>
      </c>
      <c r="K37" s="20" t="s">
        <v>103</v>
      </c>
      <c r="L37" s="24" t="s">
        <v>1037</v>
      </c>
      <c r="M37" s="24" t="s">
        <v>1038</v>
      </c>
      <c r="N37" s="19" t="s">
        <v>1043</v>
      </c>
      <c r="O37" s="18" t="s">
        <v>106</v>
      </c>
      <c r="P37" s="20" t="s">
        <v>6</v>
      </c>
      <c r="Q37" s="18" t="s">
        <v>44</v>
      </c>
      <c r="R37" s="24" t="s">
        <v>948</v>
      </c>
      <c r="S37" s="18" t="s">
        <v>922</v>
      </c>
      <c r="T37" s="18"/>
      <c r="U37" s="25" t="n">
        <f aca="false">IF(AND($K37="Y",$F37&lt;&gt;"Y",OR($T37="",$T37=Summary!$C$11)),$C37*IF($H37&lt;&gt;"",$H37,$D37)*INDEX(Summary!$C$6:$C$8,MATCH($P37,Summary!$B$6:$B$8,0)),0)</f>
        <v>0</v>
      </c>
      <c r="V37" s="25" t="n">
        <f aca="false">IF(AND($K37="Y",$F37&lt;&gt;"Y",OR($T37="",$T37=Summary!$C$11)),$C37*IF($H37&lt;&gt;"",$H37,$E37)*INDEX(Summary!$C$6:$C$8,MATCH($P37,Summary!$B$6:$B$8,0)),0)</f>
        <v>0</v>
      </c>
      <c r="W37" s="18" t="s">
        <v>62</v>
      </c>
      <c r="X37" s="26"/>
    </row>
    <row r="38" customFormat="false" ht="30" hidden="false" customHeight="true" outlineLevel="0" collapsed="false">
      <c r="A38" s="18" t="s">
        <v>1044</v>
      </c>
      <c r="B38" s="19" t="s">
        <v>1045</v>
      </c>
      <c r="C38" s="20" t="n">
        <v>1</v>
      </c>
      <c r="D38" s="21"/>
      <c r="E38" s="21"/>
      <c r="F38" s="20" t="s">
        <v>101</v>
      </c>
      <c r="G38" s="20" t="s">
        <v>101</v>
      </c>
      <c r="H38" s="22"/>
      <c r="I38" s="23" t="n">
        <f aca="false">IF(AND($K38="Y",$F38&lt;&gt;"Y",OR($T38="",$T38=Summary!$C$11)),$C38*IF($H38&lt;&gt;"",$H38,($D38+$E38)/2)*INDEX(Summary!$C$6:$C$8,MATCH($P38,Summary!$B$6:$B$8,0)),0)</f>
        <v>0</v>
      </c>
      <c r="J38" s="20" t="s">
        <v>207</v>
      </c>
      <c r="K38" s="20" t="s">
        <v>101</v>
      </c>
      <c r="L38" s="24" t="s">
        <v>1037</v>
      </c>
      <c r="M38" s="24" t="s">
        <v>1046</v>
      </c>
      <c r="N38" s="19" t="s">
        <v>1047</v>
      </c>
      <c r="O38" s="18" t="s">
        <v>106</v>
      </c>
      <c r="P38" s="20" t="s">
        <v>6</v>
      </c>
      <c r="Q38" s="18" t="s">
        <v>44</v>
      </c>
      <c r="R38" s="24" t="s">
        <v>983</v>
      </c>
      <c r="S38" s="18" t="s">
        <v>922</v>
      </c>
      <c r="T38" s="18"/>
      <c r="U38" s="25" t="n">
        <f aca="false">IF(AND($K38="Y",$F38&lt;&gt;"Y",OR($T38="",$T38=Summary!$C$11)),$C38*IF($H38&lt;&gt;"",$H38,$D38)*INDEX(Summary!$C$6:$C$8,MATCH($P38,Summary!$B$6:$B$8,0)),0)</f>
        <v>0</v>
      </c>
      <c r="V38" s="25" t="n">
        <f aca="false">IF(AND($K38="Y",$F38&lt;&gt;"Y",OR($T38="",$T38=Summary!$C$11)),$C38*IF($H38&lt;&gt;"",$H38,$E38)*INDEX(Summary!$C$6:$C$8,MATCH($P38,Summary!$B$6:$B$8,0)),0)</f>
        <v>0</v>
      </c>
      <c r="W38" s="18" t="s">
        <v>62</v>
      </c>
      <c r="X38" s="26"/>
    </row>
    <row r="39" customFormat="false" ht="30" hidden="false" customHeight="true" outlineLevel="0" collapsed="false">
      <c r="A39" s="18" t="s">
        <v>1048</v>
      </c>
      <c r="B39" s="19" t="s">
        <v>1049</v>
      </c>
      <c r="C39" s="20" t="n">
        <v>1</v>
      </c>
      <c r="D39" s="21"/>
      <c r="E39" s="21"/>
      <c r="F39" s="20" t="s">
        <v>101</v>
      </c>
      <c r="G39" s="20" t="s">
        <v>101</v>
      </c>
      <c r="H39" s="22"/>
      <c r="I39" s="23" t="n">
        <f aca="false">IF(AND($K39="Y",$F39&lt;&gt;"Y",OR($T39="",$T39=Summary!$C$11)),$C39*IF($H39&lt;&gt;"",$H39,($D39+$E39)/2)*INDEX(Summary!$C$6:$C$8,MATCH($P39,Summary!$B$6:$B$8,0)),0)</f>
        <v>0</v>
      </c>
      <c r="J39" s="20" t="s">
        <v>207</v>
      </c>
      <c r="K39" s="20" t="s">
        <v>101</v>
      </c>
      <c r="L39" s="24" t="s">
        <v>1037</v>
      </c>
      <c r="M39" s="24" t="s">
        <v>1046</v>
      </c>
      <c r="N39" s="19" t="s">
        <v>1050</v>
      </c>
      <c r="O39" s="18" t="s">
        <v>106</v>
      </c>
      <c r="P39" s="20" t="s">
        <v>6</v>
      </c>
      <c r="Q39" s="18" t="s">
        <v>45</v>
      </c>
      <c r="R39" s="24" t="s">
        <v>7</v>
      </c>
      <c r="S39" s="18" t="s">
        <v>922</v>
      </c>
      <c r="T39" s="18"/>
      <c r="U39" s="25" t="n">
        <f aca="false">IF(AND($K39="Y",$F39&lt;&gt;"Y",OR($T39="",$T39=Summary!$C$11)),$C39*IF($H39&lt;&gt;"",$H39,$D39)*INDEX(Summary!$C$6:$C$8,MATCH($P39,Summary!$B$6:$B$8,0)),0)</f>
        <v>0</v>
      </c>
      <c r="V39" s="25" t="n">
        <f aca="false">IF(AND($K39="Y",$F39&lt;&gt;"Y",OR($T39="",$T39=Summary!$C$11)),$C39*IF($H39&lt;&gt;"",$H39,$E39)*INDEX(Summary!$C$6:$C$8,MATCH($P39,Summary!$B$6:$B$8,0)),0)</f>
        <v>0</v>
      </c>
      <c r="W39" s="18" t="s">
        <v>62</v>
      </c>
      <c r="X39" s="26"/>
    </row>
    <row r="40" customFormat="false" ht="30" hidden="false" customHeight="true" outlineLevel="0" collapsed="false">
      <c r="A40" s="18" t="s">
        <v>1051</v>
      </c>
      <c r="B40" s="19" t="s">
        <v>1052</v>
      </c>
      <c r="C40" s="20" t="n">
        <v>3</v>
      </c>
      <c r="D40" s="21"/>
      <c r="E40" s="21"/>
      <c r="F40" s="20" t="s">
        <v>103</v>
      </c>
      <c r="G40" s="20" t="s">
        <v>101</v>
      </c>
      <c r="H40" s="22"/>
      <c r="I40" s="23" t="n">
        <f aca="false">IF(AND($K40="Y",$F40&lt;&gt;"Y",OR($T40="",$T40=Summary!$C$11)),$C40*IF($H40&lt;&gt;"",$H40,($D40+$E40)/2)*INDEX(Summary!$C$6:$C$8,MATCH($P40,Summary!$B$6:$B$8,0)),0)</f>
        <v>0</v>
      </c>
      <c r="J40" s="20" t="s">
        <v>46</v>
      </c>
      <c r="K40" s="20" t="s">
        <v>103</v>
      </c>
      <c r="L40" s="24" t="s">
        <v>1053</v>
      </c>
      <c r="M40" s="24" t="s">
        <v>867</v>
      </c>
      <c r="N40" s="19" t="s">
        <v>1054</v>
      </c>
      <c r="O40" s="18" t="s">
        <v>868</v>
      </c>
      <c r="P40" s="20" t="s">
        <v>6</v>
      </c>
      <c r="Q40" s="18" t="s">
        <v>46</v>
      </c>
      <c r="R40" s="24" t="s">
        <v>7</v>
      </c>
      <c r="S40" s="18" t="s">
        <v>922</v>
      </c>
      <c r="T40" s="18"/>
      <c r="U40" s="25" t="n">
        <f aca="false">IF(AND($K40="Y",$F40&lt;&gt;"Y",OR($T40="",$T40=Summary!$C$11)),$C40*IF($H40&lt;&gt;"",$H40,$D40)*INDEX(Summary!$C$6:$C$8,MATCH($P40,Summary!$B$6:$B$8,0)),0)</f>
        <v>0</v>
      </c>
      <c r="V40" s="25" t="n">
        <f aca="false">IF(AND($K40="Y",$F40&lt;&gt;"Y",OR($T40="",$T40=Summary!$C$11)),$C40*IF($H40&lt;&gt;"",$H40,$E40)*INDEX(Summary!$C$6:$C$8,MATCH($P40,Summary!$B$6:$B$8,0)),0)</f>
        <v>0</v>
      </c>
      <c r="W40" s="18" t="s">
        <v>62</v>
      </c>
      <c r="X40" s="26"/>
    </row>
    <row r="41" customFormat="false" ht="30" hidden="false" customHeight="true" outlineLevel="0" collapsed="false">
      <c r="A41" s="18" t="s">
        <v>1055</v>
      </c>
      <c r="B41" s="19" t="s">
        <v>1056</v>
      </c>
      <c r="C41" s="20" t="n">
        <v>1</v>
      </c>
      <c r="D41" s="21"/>
      <c r="E41" s="21"/>
      <c r="F41" s="20" t="s">
        <v>101</v>
      </c>
      <c r="G41" s="20" t="s">
        <v>101</v>
      </c>
      <c r="H41" s="22"/>
      <c r="I41" s="23" t="n">
        <f aca="false">IF(AND($K41="Y",$F41&lt;&gt;"Y",OR($T41="",$T41=Summary!$C$11)),$C41*IF($H41&lt;&gt;"",$H41,($D41+$E41)/2)*INDEX(Summary!$C$6:$C$8,MATCH($P41,Summary!$B$6:$B$8,0)),0)</f>
        <v>0</v>
      </c>
      <c r="J41" s="20" t="s">
        <v>102</v>
      </c>
      <c r="K41" s="20" t="s">
        <v>103</v>
      </c>
      <c r="L41" s="24" t="s">
        <v>1053</v>
      </c>
      <c r="M41" s="24" t="s">
        <v>1057</v>
      </c>
      <c r="N41" s="19" t="s">
        <v>1058</v>
      </c>
      <c r="O41" s="18" t="s">
        <v>106</v>
      </c>
      <c r="P41" s="20" t="s">
        <v>6</v>
      </c>
      <c r="Q41" s="18" t="s">
        <v>44</v>
      </c>
      <c r="R41" s="24" t="s">
        <v>1059</v>
      </c>
      <c r="S41" s="18" t="s">
        <v>922</v>
      </c>
      <c r="T41" s="18"/>
      <c r="U41" s="25" t="n">
        <f aca="false">IF(AND($K41="Y",$F41&lt;&gt;"Y",OR($T41="",$T41=Summary!$C$11)),$C41*IF($H41&lt;&gt;"",$H41,$D41)*INDEX(Summary!$C$6:$C$8,MATCH($P41,Summary!$B$6:$B$8,0)),0)</f>
        <v>0</v>
      </c>
      <c r="V41" s="25" t="n">
        <f aca="false">IF(AND($K41="Y",$F41&lt;&gt;"Y",OR($T41="",$T41=Summary!$C$11)),$C41*IF($H41&lt;&gt;"",$H41,$E41)*INDEX(Summary!$C$6:$C$8,MATCH($P41,Summary!$B$6:$B$8,0)),0)</f>
        <v>0</v>
      </c>
      <c r="W41" s="18" t="s">
        <v>62</v>
      </c>
      <c r="X41" s="26" t="s">
        <v>1060</v>
      </c>
    </row>
    <row r="42" customFormat="false" ht="30" hidden="false" customHeight="true" outlineLevel="0" collapsed="false">
      <c r="A42" s="18" t="s">
        <v>1061</v>
      </c>
      <c r="B42" s="19" t="s">
        <v>1062</v>
      </c>
      <c r="C42" s="20" t="n">
        <v>1</v>
      </c>
      <c r="D42" s="21"/>
      <c r="E42" s="21"/>
      <c r="F42" s="20" t="s">
        <v>101</v>
      </c>
      <c r="G42" s="20" t="s">
        <v>101</v>
      </c>
      <c r="H42" s="22"/>
      <c r="I42" s="23" t="n">
        <f aca="false">IF(AND($K42="Y",$F42&lt;&gt;"Y",OR($T42="",$T42=Summary!$C$11)),$C42*IF($H42&lt;&gt;"",$H42,($D42+$E42)/2)*INDEX(Summary!$C$6:$C$8,MATCH($P42,Summary!$B$6:$B$8,0)),0)</f>
        <v>0</v>
      </c>
      <c r="J42" s="20" t="s">
        <v>102</v>
      </c>
      <c r="K42" s="20" t="s">
        <v>103</v>
      </c>
      <c r="L42" s="24" t="s">
        <v>1063</v>
      </c>
      <c r="M42" s="24" t="s">
        <v>1064</v>
      </c>
      <c r="N42" s="19" t="s">
        <v>1065</v>
      </c>
      <c r="O42" s="18" t="s">
        <v>106</v>
      </c>
      <c r="P42" s="20" t="s">
        <v>6</v>
      </c>
      <c r="Q42" s="18" t="s">
        <v>44</v>
      </c>
      <c r="R42" s="24" t="s">
        <v>1066</v>
      </c>
      <c r="S42" s="18" t="s">
        <v>922</v>
      </c>
      <c r="T42" s="18"/>
      <c r="U42" s="25" t="n">
        <f aca="false">IF(AND($K42="Y",$F42&lt;&gt;"Y",OR($T42="",$T42=Summary!$C$11)),$C42*IF($H42&lt;&gt;"",$H42,$D42)*INDEX(Summary!$C$6:$C$8,MATCH($P42,Summary!$B$6:$B$8,0)),0)</f>
        <v>0</v>
      </c>
      <c r="V42" s="25" t="n">
        <f aca="false">IF(AND($K42="Y",$F42&lt;&gt;"Y",OR($T42="",$T42=Summary!$C$11)),$C42*IF($H42&lt;&gt;"",$H42,$E42)*INDEX(Summary!$C$6:$C$8,MATCH($P42,Summary!$B$6:$B$8,0)),0)</f>
        <v>0</v>
      </c>
      <c r="W42" s="18" t="s">
        <v>62</v>
      </c>
      <c r="X42" s="26"/>
    </row>
    <row r="43" customFormat="false" ht="30" hidden="false" customHeight="true" outlineLevel="0" collapsed="false">
      <c r="A43" s="18" t="s">
        <v>1067</v>
      </c>
      <c r="B43" s="19" t="s">
        <v>1068</v>
      </c>
      <c r="C43" s="20" t="n">
        <v>1</v>
      </c>
      <c r="D43" s="21"/>
      <c r="E43" s="21"/>
      <c r="F43" s="20" t="s">
        <v>101</v>
      </c>
      <c r="G43" s="20" t="s">
        <v>101</v>
      </c>
      <c r="H43" s="22"/>
      <c r="I43" s="23" t="n">
        <f aca="false">IF(AND($K43="Y",$F43&lt;&gt;"Y",OR($T43="",$T43=Summary!$C$11)),$C43*IF($H43&lt;&gt;"",$H43,($D43+$E43)/2)*INDEX(Summary!$C$6:$C$8,MATCH($P43,Summary!$B$6:$B$8,0)),0)</f>
        <v>0</v>
      </c>
      <c r="J43" s="20" t="s">
        <v>102</v>
      </c>
      <c r="K43" s="20" t="s">
        <v>103</v>
      </c>
      <c r="L43" s="24" t="s">
        <v>1063</v>
      </c>
      <c r="M43" s="24" t="s">
        <v>1064</v>
      </c>
      <c r="N43" s="19"/>
      <c r="O43" s="18" t="s">
        <v>212</v>
      </c>
      <c r="P43" s="20" t="s">
        <v>6</v>
      </c>
      <c r="Q43" s="18" t="s">
        <v>44</v>
      </c>
      <c r="R43" s="24" t="s">
        <v>948</v>
      </c>
      <c r="S43" s="18" t="s">
        <v>922</v>
      </c>
      <c r="T43" s="18"/>
      <c r="U43" s="25" t="n">
        <f aca="false">IF(AND($K43="Y",$F43&lt;&gt;"Y",OR($T43="",$T43=Summary!$C$11)),$C43*IF($H43&lt;&gt;"",$H43,$D43)*INDEX(Summary!$C$6:$C$8,MATCH($P43,Summary!$B$6:$B$8,0)),0)</f>
        <v>0</v>
      </c>
      <c r="V43" s="25" t="n">
        <f aca="false">IF(AND($K43="Y",$F43&lt;&gt;"Y",OR($T43="",$T43=Summary!$C$11)),$C43*IF($H43&lt;&gt;"",$H43,$E43)*INDEX(Summary!$C$6:$C$8,MATCH($P43,Summary!$B$6:$B$8,0)),0)</f>
        <v>0</v>
      </c>
      <c r="W43" s="18" t="s">
        <v>62</v>
      </c>
      <c r="X43" s="26"/>
    </row>
    <row r="44" customFormat="false" ht="30" hidden="false" customHeight="true" outlineLevel="0" collapsed="false">
      <c r="A44" s="18" t="s">
        <v>1069</v>
      </c>
      <c r="B44" s="19" t="s">
        <v>1070</v>
      </c>
      <c r="C44" s="20" t="n">
        <v>1</v>
      </c>
      <c r="D44" s="21"/>
      <c r="E44" s="21"/>
      <c r="F44" s="20" t="s">
        <v>101</v>
      </c>
      <c r="G44" s="20" t="s">
        <v>101</v>
      </c>
      <c r="H44" s="22"/>
      <c r="I44" s="23" t="n">
        <f aca="false">IF(AND($K44="Y",$F44&lt;&gt;"Y",OR($T44="",$T44=Summary!$C$11)),$C44*IF($H44&lt;&gt;"",$H44,($D44+$E44)/2)*INDEX(Summary!$C$6:$C$8,MATCH($P44,Summary!$B$6:$B$8,0)),0)</f>
        <v>0</v>
      </c>
      <c r="J44" s="20" t="s">
        <v>102</v>
      </c>
      <c r="K44" s="20" t="s">
        <v>103</v>
      </c>
      <c r="L44" s="24" t="s">
        <v>1063</v>
      </c>
      <c r="M44" s="24" t="s">
        <v>1064</v>
      </c>
      <c r="N44" s="19" t="s">
        <v>1071</v>
      </c>
      <c r="O44" s="18" t="s">
        <v>140</v>
      </c>
      <c r="P44" s="20" t="s">
        <v>6</v>
      </c>
      <c r="Q44" s="18" t="s">
        <v>45</v>
      </c>
      <c r="R44" s="24" t="s">
        <v>7</v>
      </c>
      <c r="S44" s="18" t="s">
        <v>922</v>
      </c>
      <c r="T44" s="18"/>
      <c r="U44" s="25" t="n">
        <f aca="false">IF(AND($K44="Y",$F44&lt;&gt;"Y",OR($T44="",$T44=Summary!$C$11)),$C44*IF($H44&lt;&gt;"",$H44,$D44)*INDEX(Summary!$C$6:$C$8,MATCH($P44,Summary!$B$6:$B$8,0)),0)</f>
        <v>0</v>
      </c>
      <c r="V44" s="25" t="n">
        <f aca="false">IF(AND($K44="Y",$F44&lt;&gt;"Y",OR($T44="",$T44=Summary!$C$11)),$C44*IF($H44&lt;&gt;"",$H44,$E44)*INDEX(Summary!$C$6:$C$8,MATCH($P44,Summary!$B$6:$B$8,0)),0)</f>
        <v>0</v>
      </c>
      <c r="W44" s="18" t="s">
        <v>62</v>
      </c>
      <c r="X44" s="26"/>
    </row>
    <row r="45" customFormat="false" ht="30" hidden="false" customHeight="true" outlineLevel="0" collapsed="false">
      <c r="A45" s="18" t="s">
        <v>1072</v>
      </c>
      <c r="B45" s="19" t="s">
        <v>1073</v>
      </c>
      <c r="C45" s="20" t="n">
        <v>2</v>
      </c>
      <c r="D45" s="21"/>
      <c r="E45" s="21"/>
      <c r="F45" s="20" t="s">
        <v>101</v>
      </c>
      <c r="G45" s="20" t="s">
        <v>101</v>
      </c>
      <c r="H45" s="22"/>
      <c r="I45" s="23" t="n">
        <f aca="false">IF(AND($K45="Y",$F45&lt;&gt;"Y",OR($T45="",$T45=Summary!$C$11)),$C45*IF($H45&lt;&gt;"",$H45,($D45+$E45)/2)*INDEX(Summary!$C$6:$C$8,MATCH($P45,Summary!$B$6:$B$8,0)),0)</f>
        <v>0</v>
      </c>
      <c r="J45" s="20" t="s">
        <v>102</v>
      </c>
      <c r="K45" s="20" t="s">
        <v>103</v>
      </c>
      <c r="L45" s="24" t="s">
        <v>1074</v>
      </c>
      <c r="M45" s="24" t="s">
        <v>1075</v>
      </c>
      <c r="N45" s="19" t="s">
        <v>1076</v>
      </c>
      <c r="O45" s="18" t="s">
        <v>106</v>
      </c>
      <c r="P45" s="20" t="s">
        <v>6</v>
      </c>
      <c r="Q45" s="18" t="s">
        <v>44</v>
      </c>
      <c r="R45" s="24" t="s">
        <v>1077</v>
      </c>
      <c r="S45" s="18" t="s">
        <v>922</v>
      </c>
      <c r="T45" s="18"/>
      <c r="U45" s="25" t="n">
        <f aca="false">IF(AND($K45="Y",$F45&lt;&gt;"Y",OR($T45="",$T45=Summary!$C$11)),$C45*IF($H45&lt;&gt;"",$H45,$D45)*INDEX(Summary!$C$6:$C$8,MATCH($P45,Summary!$B$6:$B$8,0)),0)</f>
        <v>0</v>
      </c>
      <c r="V45" s="25" t="n">
        <f aca="false">IF(AND($K45="Y",$F45&lt;&gt;"Y",OR($T45="",$T45=Summary!$C$11)),$C45*IF($H45&lt;&gt;"",$H45,$E45)*INDEX(Summary!$C$6:$C$8,MATCH($P45,Summary!$B$6:$B$8,0)),0)</f>
        <v>0</v>
      </c>
      <c r="W45" s="18" t="s">
        <v>62</v>
      </c>
      <c r="X45" s="26" t="s">
        <v>1078</v>
      </c>
    </row>
    <row r="46" customFormat="false" ht="30" hidden="false" customHeight="true" outlineLevel="0" collapsed="false">
      <c r="A46" s="18" t="s">
        <v>1079</v>
      </c>
      <c r="B46" s="19" t="s">
        <v>1080</v>
      </c>
      <c r="C46" s="20" t="n">
        <v>2</v>
      </c>
      <c r="D46" s="21"/>
      <c r="E46" s="21"/>
      <c r="F46" s="20" t="s">
        <v>101</v>
      </c>
      <c r="G46" s="20" t="s">
        <v>101</v>
      </c>
      <c r="H46" s="22"/>
      <c r="I46" s="23" t="n">
        <f aca="false">IF(AND($K46="Y",$F46&lt;&gt;"Y",OR($T46="",$T46=Summary!$C$11)),$C46*IF($H46&lt;&gt;"",$H46,($D46+$E46)/2)*INDEX(Summary!$C$6:$C$8,MATCH($P46,Summary!$B$6:$B$8,0)),0)</f>
        <v>0</v>
      </c>
      <c r="J46" s="20" t="s">
        <v>102</v>
      </c>
      <c r="K46" s="20" t="s">
        <v>103</v>
      </c>
      <c r="L46" s="24" t="s">
        <v>1074</v>
      </c>
      <c r="M46" s="24" t="s">
        <v>1075</v>
      </c>
      <c r="N46" s="19" t="s">
        <v>1081</v>
      </c>
      <c r="O46" s="18" t="s">
        <v>106</v>
      </c>
      <c r="P46" s="20" t="s">
        <v>6</v>
      </c>
      <c r="Q46" s="18" t="s">
        <v>44</v>
      </c>
      <c r="R46" s="24" t="s">
        <v>1077</v>
      </c>
      <c r="S46" s="18" t="s">
        <v>922</v>
      </c>
      <c r="T46" s="18"/>
      <c r="U46" s="25" t="n">
        <f aca="false">IF(AND($K46="Y",$F46&lt;&gt;"Y",OR($T46="",$T46=Summary!$C$11)),$C46*IF($H46&lt;&gt;"",$H46,$D46)*INDEX(Summary!$C$6:$C$8,MATCH($P46,Summary!$B$6:$B$8,0)),0)</f>
        <v>0</v>
      </c>
      <c r="V46" s="25" t="n">
        <f aca="false">IF(AND($K46="Y",$F46&lt;&gt;"Y",OR($T46="",$T46=Summary!$C$11)),$C46*IF($H46&lt;&gt;"",$H46,$E46)*INDEX(Summary!$C$6:$C$8,MATCH($P46,Summary!$B$6:$B$8,0)),0)</f>
        <v>0</v>
      </c>
      <c r="W46" s="18" t="s">
        <v>62</v>
      </c>
      <c r="X46" s="26" t="s">
        <v>1078</v>
      </c>
    </row>
    <row r="47" customFormat="false" ht="30" hidden="false" customHeight="true" outlineLevel="0" collapsed="false">
      <c r="A47" s="18" t="s">
        <v>1082</v>
      </c>
      <c r="B47" s="19" t="s">
        <v>1083</v>
      </c>
      <c r="C47" s="20" t="n">
        <v>1</v>
      </c>
      <c r="D47" s="21"/>
      <c r="E47" s="21"/>
      <c r="F47" s="20" t="s">
        <v>101</v>
      </c>
      <c r="G47" s="20" t="s">
        <v>101</v>
      </c>
      <c r="H47" s="22"/>
      <c r="I47" s="23" t="n">
        <f aca="false">IF(AND($K47="Y",$F47&lt;&gt;"Y",OR($T47="",$T47=Summary!$C$11)),$C47*IF($H47&lt;&gt;"",$H47,($D47+$E47)/2)*INDEX(Summary!$C$6:$C$8,MATCH($P47,Summary!$B$6:$B$8,0)),0)</f>
        <v>0</v>
      </c>
      <c r="J47" s="20" t="s">
        <v>157</v>
      </c>
      <c r="K47" s="20" t="s">
        <v>103</v>
      </c>
      <c r="L47" s="24" t="s">
        <v>1074</v>
      </c>
      <c r="M47" s="24" t="s">
        <v>1084</v>
      </c>
      <c r="N47" s="19" t="s">
        <v>1085</v>
      </c>
      <c r="O47" s="18" t="s">
        <v>106</v>
      </c>
      <c r="P47" s="20" t="s">
        <v>6</v>
      </c>
      <c r="Q47" s="18" t="s">
        <v>44</v>
      </c>
      <c r="R47" s="24" t="s">
        <v>609</v>
      </c>
      <c r="S47" s="18" t="s">
        <v>922</v>
      </c>
      <c r="T47" s="18"/>
      <c r="U47" s="25" t="n">
        <f aca="false">IF(AND($K47="Y",$F47&lt;&gt;"Y",OR($T47="",$T47=Summary!$C$11)),$C47*IF($H47&lt;&gt;"",$H47,$D47)*INDEX(Summary!$C$6:$C$8,MATCH($P47,Summary!$B$6:$B$8,0)),0)</f>
        <v>0</v>
      </c>
      <c r="V47" s="25" t="n">
        <f aca="false">IF(AND($K47="Y",$F47&lt;&gt;"Y",OR($T47="",$T47=Summary!$C$11)),$C47*IF($H47&lt;&gt;"",$H47,$E47)*INDEX(Summary!$C$6:$C$8,MATCH($P47,Summary!$B$6:$B$8,0)),0)</f>
        <v>0</v>
      </c>
      <c r="W47" s="18" t="s">
        <v>62</v>
      </c>
      <c r="X47" s="26"/>
    </row>
    <row r="48" customFormat="false" ht="30" hidden="false" customHeight="true" outlineLevel="0" collapsed="false">
      <c r="A48" s="18" t="s">
        <v>1086</v>
      </c>
      <c r="B48" s="19" t="s">
        <v>1087</v>
      </c>
      <c r="C48" s="20" t="n">
        <v>1</v>
      </c>
      <c r="D48" s="21"/>
      <c r="E48" s="21"/>
      <c r="F48" s="20" t="s">
        <v>101</v>
      </c>
      <c r="G48" s="20" t="s">
        <v>101</v>
      </c>
      <c r="H48" s="22"/>
      <c r="I48" s="23" t="n">
        <f aca="false">IF(AND($K48="Y",$F48&lt;&gt;"Y",OR($T48="",$T48=Summary!$C$11)),$C48*IF($H48&lt;&gt;"",$H48,($D48+$E48)/2)*INDEX(Summary!$C$6:$C$8,MATCH($P48,Summary!$B$6:$B$8,0)),0)</f>
        <v>0</v>
      </c>
      <c r="J48" s="20" t="s">
        <v>126</v>
      </c>
      <c r="K48" s="20" t="s">
        <v>103</v>
      </c>
      <c r="L48" s="24" t="s">
        <v>1074</v>
      </c>
      <c r="M48" s="24" t="s">
        <v>1084</v>
      </c>
      <c r="N48" s="19"/>
      <c r="O48" s="18" t="s">
        <v>106</v>
      </c>
      <c r="P48" s="20" t="s">
        <v>6</v>
      </c>
      <c r="Q48" s="18" t="s">
        <v>44</v>
      </c>
      <c r="R48" s="24" t="s">
        <v>983</v>
      </c>
      <c r="S48" s="18" t="s">
        <v>922</v>
      </c>
      <c r="T48" s="18"/>
      <c r="U48" s="25" t="n">
        <f aca="false">IF(AND($K48="Y",$F48&lt;&gt;"Y",OR($T48="",$T48=Summary!$C$11)),$C48*IF($H48&lt;&gt;"",$H48,$D48)*INDEX(Summary!$C$6:$C$8,MATCH($P48,Summary!$B$6:$B$8,0)),0)</f>
        <v>0</v>
      </c>
      <c r="V48" s="25" t="n">
        <f aca="false">IF(AND($K48="Y",$F48&lt;&gt;"Y",OR($T48="",$T48=Summary!$C$11)),$C48*IF($H48&lt;&gt;"",$H48,$E48)*INDEX(Summary!$C$6:$C$8,MATCH($P48,Summary!$B$6:$B$8,0)),0)</f>
        <v>0</v>
      </c>
      <c r="W48" s="18" t="s">
        <v>62</v>
      </c>
      <c r="X48" s="26"/>
    </row>
    <row r="49" customFormat="false" ht="30" hidden="false" customHeight="true" outlineLevel="0" collapsed="false">
      <c r="A49" s="18" t="s">
        <v>1088</v>
      </c>
      <c r="B49" s="19" t="s">
        <v>1089</v>
      </c>
      <c r="C49" s="20" t="n">
        <v>1</v>
      </c>
      <c r="D49" s="21"/>
      <c r="E49" s="21"/>
      <c r="F49" s="20" t="s">
        <v>101</v>
      </c>
      <c r="G49" s="20" t="s">
        <v>101</v>
      </c>
      <c r="H49" s="22"/>
      <c r="I49" s="23" t="n">
        <f aca="false">IF(AND($K49="Y",$F49&lt;&gt;"Y",OR($T49="",$T49=Summary!$C$11)),$C49*IF($H49&lt;&gt;"",$H49,($D49+$E49)/2)*INDEX(Summary!$C$6:$C$8,MATCH($P49,Summary!$B$6:$B$8,0)),0)</f>
        <v>0</v>
      </c>
      <c r="J49" s="20" t="s">
        <v>126</v>
      </c>
      <c r="K49" s="20" t="s">
        <v>103</v>
      </c>
      <c r="L49" s="24" t="s">
        <v>1074</v>
      </c>
      <c r="M49" s="24" t="s">
        <v>1084</v>
      </c>
      <c r="N49" s="19" t="s">
        <v>1090</v>
      </c>
      <c r="O49" s="18" t="s">
        <v>106</v>
      </c>
      <c r="P49" s="20" t="s">
        <v>6</v>
      </c>
      <c r="Q49" s="18" t="s">
        <v>44</v>
      </c>
      <c r="R49" s="24" t="s">
        <v>948</v>
      </c>
      <c r="S49" s="18" t="s">
        <v>922</v>
      </c>
      <c r="T49" s="18"/>
      <c r="U49" s="25" t="n">
        <f aca="false">IF(AND($K49="Y",$F49&lt;&gt;"Y",OR($T49="",$T49=Summary!$C$11)),$C49*IF($H49&lt;&gt;"",$H49,$D49)*INDEX(Summary!$C$6:$C$8,MATCH($P49,Summary!$B$6:$B$8,0)),0)</f>
        <v>0</v>
      </c>
      <c r="V49" s="25" t="n">
        <f aca="false">IF(AND($K49="Y",$F49&lt;&gt;"Y",OR($T49="",$T49=Summary!$C$11)),$C49*IF($H49&lt;&gt;"",$H49,$E49)*INDEX(Summary!$C$6:$C$8,MATCH($P49,Summary!$B$6:$B$8,0)),0)</f>
        <v>0</v>
      </c>
      <c r="W49" s="18" t="s">
        <v>62</v>
      </c>
      <c r="X49" s="26"/>
    </row>
    <row r="50" customFormat="false" ht="30" hidden="false" customHeight="true" outlineLevel="0" collapsed="false">
      <c r="A50" s="18" t="s">
        <v>1091</v>
      </c>
      <c r="B50" s="19" t="s">
        <v>1092</v>
      </c>
      <c r="C50" s="20" t="n">
        <v>1</v>
      </c>
      <c r="D50" s="21"/>
      <c r="E50" s="21"/>
      <c r="F50" s="20" t="s">
        <v>101</v>
      </c>
      <c r="G50" s="20" t="s">
        <v>101</v>
      </c>
      <c r="H50" s="22"/>
      <c r="I50" s="23" t="n">
        <f aca="false">IF(AND($K50="Y",$F50&lt;&gt;"Y",OR($T50="",$T50=Summary!$C$11)),$C50*IF($H50&lt;&gt;"",$H50,($D50+$E50)/2)*INDEX(Summary!$C$6:$C$8,MATCH($P50,Summary!$B$6:$B$8,0)),0)</f>
        <v>0</v>
      </c>
      <c r="J50" s="20" t="s">
        <v>102</v>
      </c>
      <c r="K50" s="20" t="s">
        <v>103</v>
      </c>
      <c r="L50" s="24" t="s">
        <v>1093</v>
      </c>
      <c r="M50" s="24" t="s">
        <v>1094</v>
      </c>
      <c r="N50" s="19"/>
      <c r="O50" s="18" t="s">
        <v>212</v>
      </c>
      <c r="P50" s="20" t="s">
        <v>6</v>
      </c>
      <c r="Q50" s="18" t="s">
        <v>44</v>
      </c>
      <c r="R50" s="24" t="s">
        <v>860</v>
      </c>
      <c r="S50" s="18" t="s">
        <v>922</v>
      </c>
      <c r="T50" s="18"/>
      <c r="U50" s="25" t="n">
        <f aca="false">IF(AND($K50="Y",$F50&lt;&gt;"Y",OR($T50="",$T50=Summary!$C$11)),$C50*IF($H50&lt;&gt;"",$H50,$D50)*INDEX(Summary!$C$6:$C$8,MATCH($P50,Summary!$B$6:$B$8,0)),0)</f>
        <v>0</v>
      </c>
      <c r="V50" s="25" t="n">
        <f aca="false">IF(AND($K50="Y",$F50&lt;&gt;"Y",OR($T50="",$T50=Summary!$C$11)),$C50*IF($H50&lt;&gt;"",$H50,$E50)*INDEX(Summary!$C$6:$C$8,MATCH($P50,Summary!$B$6:$B$8,0)),0)</f>
        <v>0</v>
      </c>
      <c r="W50" s="18" t="s">
        <v>62</v>
      </c>
      <c r="X50" s="26"/>
    </row>
    <row r="51" customFormat="false" ht="15" hidden="false" customHeight="false" outlineLevel="0" collapsed="false">
      <c r="H51" s="14" t="s">
        <v>913</v>
      </c>
      <c r="I51" s="14" t="n">
        <f aca="false">SUM(I5:I50)</f>
        <v>349.98</v>
      </c>
      <c r="U51" s="14" t="n">
        <f aca="false">SUM(U5:U50)</f>
        <v>349.98</v>
      </c>
      <c r="V51" s="14" t="n">
        <f aca="false">SUM(V5:V50)</f>
        <v>349.98</v>
      </c>
    </row>
  </sheetData>
  <autoFilter ref="A4:X50"/>
  <mergeCells count="1">
    <mergeCell ref="A2:K2"/>
  </mergeCells>
  <conditionalFormatting sqref="A5:X50">
    <cfRule type="expression" priority="2" aboveAverage="0" equalAverage="0" bottom="0" percent="0" rank="0" text="" dxfId="15">
      <formula>$K5="N"</formula>
    </cfRule>
    <cfRule type="expression" priority="3" aboveAverage="0" equalAverage="0" bottom="0" percent="0" rank="0" text="" dxfId="16">
      <formula>AND($T5&lt;&gt;"",$T5&lt;&gt;Summary!$C$11)</formula>
    </cfRule>
    <cfRule type="expression" priority="4" aboveAverage="0" equalAverage="0" bottom="0" percent="0" rank="0" text="" dxfId="17">
      <formula>$F5="Y"</formula>
    </cfRule>
  </conditionalFormatting>
  <conditionalFormatting sqref="J5:J50">
    <cfRule type="expression" priority="5" aboveAverage="0" equalAverage="0" bottom="0" percent="0" rank="0" text="" dxfId="18">
      <formula>$J5="To decide"</formula>
    </cfRule>
  </conditionalFormatting>
  <conditionalFormatting sqref="D5:E50">
    <cfRule type="expression" priority="6" aboveAverage="0" equalAverage="0" bottom="0" percent="0" rank="0" text="" dxfId="19">
      <formula>AND($K5="Y",$F5&lt;&gt;"Y",$H5="",$D5="",$E5="")</formula>
    </cfRule>
  </conditionalFormatting>
  <dataValidations count="5">
    <dataValidation allowBlank="true" errorStyle="stop" operator="between" showDropDown="false" showErrorMessage="false" showInputMessage="false" sqref="K5:K50" type="list">
      <formula1>"Y,N"</formula1>
      <formula2>0</formula2>
    </dataValidation>
    <dataValidation allowBlank="true" errorStyle="stop" operator="between" showDropDown="false" showErrorMessage="false" showInputMessage="false" sqref="F5:G50" type="list">
      <formula1>"Y,N"</formula1>
      <formula2>0</formula2>
    </dataValidation>
    <dataValidation allowBlank="true" errorStyle="stop" operator="between" showDropDown="false" showErrorMessage="false" showInputMessage="false" sqref="P5:P50" type="list">
      <formula1>"CAD,USD,GBP"</formula1>
      <formula2>0</formula2>
    </dataValidation>
    <dataValidation allowBlank="true" errorStyle="stop" operator="between" showDropDown="false" showErrorMessage="false" showInputMessage="false" sqref="J5:J50" type="list">
      <formula1>"Need,To decide,Option,Optional,Ordered,Have,Done"</formula1>
      <formula2>0</formula2>
    </dataValidation>
    <dataValidation allowBlank="true" errorStyle="stop" operator="between" showDropDown="false" showErrorMessage="false" showInputMessage="false" sqref="Q5:Q50" type="list">
      <formula1>"Buy,Make,Have,Sell"</formula1>
      <formula2>0</formula2>
    </dataValidation>
  </dataValidations>
  <hyperlinks>
    <hyperlink ref="X5" r:id="rId1" display="https://www.amazon.ca/dp/B0F47W71ZD"/>
    <hyperlink ref="X6" r:id="rId2" display="https://www.amazon.ca/dp/B09MWBZRGH"/>
    <hyperlink ref="X7" r:id="rId3" display="https://www.aliexpress.com/item/1005007660268625.html"/>
    <hyperlink ref="X8" r:id="rId4" display="https://www.aliexpress.com/item/1005002491882309.html"/>
    <hyperlink ref="X9" r:id="rId5" display="https://www.aliexpress.com/item/1005007883028035.html"/>
    <hyperlink ref="X10" r:id="rId6" display="https://www.aliexpress.com/item/32814359094.html"/>
    <hyperlink ref="X11" r:id="rId7" display="https://www.aliexpress.com/item/1005007883028035.html"/>
    <hyperlink ref="X12" r:id="rId8" display="https://www.aliexpress.com/item/32814359094.html"/>
    <hyperlink ref="X14" r:id="rId9" display="https://www.aliexpress.com/item/1005004825209262.html"/>
    <hyperlink ref="X15" r:id="rId10" display="https://www.aliexpress.com/item/1005004825209262.html"/>
    <hyperlink ref="X16" r:id="rId11" display="https://www.aliexpress.com/item/1005004825209262.html"/>
    <hyperlink ref="X17" r:id="rId12" display="https://www.aliexpress.com/item/1005007791178337.html"/>
    <hyperlink ref="X18" r:id="rId13" display="https://www.aliexpress.com/item/1005007791178337.html"/>
    <hyperlink ref="X19" r:id="rId14" display="https://www.aliexpress.com/item/32995243964.html"/>
    <hyperlink ref="X20" r:id="rId15" display="https://www.aliexpress.com/item/32794645480.html"/>
    <hyperlink ref="X21" r:id="rId16" display="https://www.aliexpress.com/item/1005006093979302.html"/>
    <hyperlink ref="X23" r:id="rId17" display="https://www.aliexpress.com/item/1005007121900242.html"/>
    <hyperlink ref="X24" r:id="rId18" display="https://www.amazon.ca/dp/B0BTJTXHNN"/>
    <hyperlink ref="X26" r:id="rId19" display="https://www.aliexpress.com/item/1005006478108991.html"/>
    <hyperlink ref="X27" r:id="rId20" display="https://www.aliexpress.com/item/1005001599112235.html"/>
    <hyperlink ref="X41" r:id="rId21" display="https://cults3d.com/en/3d-model/tool/diy-3d-printed-cnc-machine-htmcnc"/>
    <hyperlink ref="X45" r:id="rId22" display="https://www.aliexpress.com/item/1005001948417279.html"/>
    <hyperlink ref="X46" r:id="rId23" display="https://www.aliexpress.com/item/1005001948417279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20"/>
  </cols>
  <sheetData>
    <row r="1" customFormat="false" ht="17.25" hidden="false" customHeight="true" outlineLevel="0" collapsed="false">
      <c r="A1" s="27" t="s">
        <v>1095</v>
      </c>
    </row>
    <row r="2" customFormat="false" ht="15" hidden="false" customHeight="true" outlineLevel="0" collapsed="false">
      <c r="A2" s="28" t="s">
        <v>1096</v>
      </c>
    </row>
    <row r="3" customFormat="false" ht="15" hidden="false" customHeight="true" outlineLevel="0" collapsed="false">
      <c r="A3" s="28" t="s">
        <v>1097</v>
      </c>
    </row>
    <row r="4" customFormat="false" ht="15" hidden="false" customHeight="true" outlineLevel="0" collapsed="false">
      <c r="A4" s="28" t="s">
        <v>1098</v>
      </c>
    </row>
    <row r="5" customFormat="false" ht="15" hidden="false" customHeight="true" outlineLevel="0" collapsed="false">
      <c r="A5" s="28" t="s">
        <v>1099</v>
      </c>
    </row>
    <row r="6" customFormat="false" ht="23.25" hidden="false" customHeight="true" outlineLevel="0" collapsed="false">
      <c r="A6" s="28" t="s">
        <v>1100</v>
      </c>
    </row>
    <row r="7" customFormat="false" ht="15" hidden="false" customHeight="true" outlineLevel="0" collapsed="false">
      <c r="A7" s="28" t="s">
        <v>1101</v>
      </c>
    </row>
    <row r="8" customFormat="false" ht="15" hidden="false" customHeight="true" outlineLevel="0" collapsed="false">
      <c r="A8" s="28" t="s">
        <v>1102</v>
      </c>
    </row>
    <row r="9" customFormat="false" ht="15" hidden="false" customHeight="true" outlineLevel="0" collapsed="false">
      <c r="A9" s="28" t="s">
        <v>1103</v>
      </c>
    </row>
    <row r="10" customFormat="false" ht="23.25" hidden="false" customHeight="true" outlineLevel="0" collapsed="false">
      <c r="A10" s="28" t="s">
        <v>1104</v>
      </c>
    </row>
    <row r="11" customFormat="false" ht="15" hidden="false" customHeight="true" outlineLevel="0" collapsed="false">
      <c r="A11" s="28" t="s">
        <v>1105</v>
      </c>
    </row>
    <row r="12" customFormat="false" ht="15" hidden="false" customHeight="true" outlineLevel="0" collapsed="false">
      <c r="A12" s="28" t="s">
        <v>1106</v>
      </c>
    </row>
    <row r="13" customFormat="false" ht="15" hidden="false" customHeight="true" outlineLevel="0" collapsed="false">
      <c r="A13" s="28" t="s">
        <v>1107</v>
      </c>
    </row>
    <row r="14" customFormat="false" ht="23.85" hidden="false" customHeight="false" outlineLevel="0" collapsed="false">
      <c r="A14" s="28" t="s">
        <v>1108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2026-10-04T18:49:55Z</dcterms:created>
  <dc:creator>openpyxl</dc:creator>
  <dc:description/>
  <dc:language>en-US</dc:language>
  <cp:lastModifiedBy/>
  <dcterms:modified xsi:type="dcterms:W3CDTF">2026-10-04T22:45:03Z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