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re" sheetId="1" state="visible" r:id="rId3"/>
    <sheet name="RX-8 BOM" sheetId="2" state="visible" r:id="rId4"/>
    <sheet name="8HP BOM" sheetId="3" state="visible" r:id="rId5"/>
    <sheet name="Assumptio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<sst xmlns="http://schemas.openxmlformats.org/spreadsheetml/2006/main" count="347" uniqueCount="217">
  <si>
    <t xml:space="preserve">07K gearbox options: RX-8 6-speed manual vs ZF 8HP automatic</t>
  </si>
  <si>
    <t xml:space="preserve">Engine-to-gearbox job only (see Assumptions for scope and rates). Costs are live from the two BOM tabs.</t>
  </si>
  <si>
    <t xml:space="preserve">RX-8 6-speed (manual)</t>
  </si>
  <si>
    <t xml:space="preserve">ZF 8HP50 (auto)</t>
  </si>
  <si>
    <t xml:space="preserve">Cost, low (CAD incl. HST)</t>
  </si>
  <si>
    <t xml:space="preserve">Cost, high (CAD incl. HST)</t>
  </si>
  <si>
    <t xml:space="preserve">8HP costs this many times the RX-8 (midpoint)</t>
  </si>
  <si>
    <t xml:space="preserve">Comparison</t>
  </si>
  <si>
    <t xml:space="preserve">Adapter</t>
  </si>
  <si>
    <t xml:space="preserve">Make your own on the school CNC (material ~US$150–300), or buy the proven £140 plate + £35 bolts from RX8 Gearbox Adapters.</t>
  </si>
  <si>
    <t xml:space="preserve">$1,250–1,280 DomiWorks kit (plate + billet flywheel + centre guide). Also sold by a Quebec dealer.</t>
  </si>
  <si>
    <t xml:space="preserve">Proven on a 07K?</t>
  </si>
  <si>
    <t xml:space="preserve">Yes — Brett Horn's E30 (2024–25). Needed timing-cover trimming, a bolt-alignment fix, a CSC, and an engine pull to sort clutch release.</t>
  </si>
  <si>
    <t xml:space="preserve">No BMW-8HP 07K or 1.8T build found. Only a one-off 07K → Dodge 8HP (turbo Miata, ChathamCNC plate).</t>
  </si>
  <si>
    <t xml:space="preserve">Fits the 07K block?</t>
  </si>
  <si>
    <t xml:space="preserve">Works in practice (Brett). Sold for VW PD/1.8T; 07K shares the 1.8T flywheel pattern.</t>
  </si>
  <si>
    <t xml:space="preserve">Unconfirmed — the kit is for VW 1.8T/1.9T. Email DomiWorks before buying.</t>
  </si>
  <si>
    <t xml:space="preserve">Starter</t>
  </si>
  <si>
    <t xml:space="preserve">Audi A4 1.9 TDI starter on the plate — designed in, ~£40–145.</t>
  </si>
  <si>
    <t xml:space="preserve">Unknown — no starter solution listed. Biggest open question.</t>
  </si>
  <si>
    <t xml:space="preserve">Flywheel / clutch</t>
  </si>
  <si>
    <t xml:space="preserve">Off-the-shelf Audi 1.8T single-mass flywheel + pressure plate, Ford 23-spline 228 mm disc.</t>
  </si>
  <si>
    <t xml:space="preserve">Billet flexplate included; donor torque converter (seating/runout critical).</t>
  </si>
  <si>
    <t xml:space="preserve">Clutch / release</t>
  </si>
  <si>
    <t xml:space="preserve">Concentric slave (fork is blocked by the 07K casting): make the adapter + spacers, buy the slave unit. Needs careful spacer setup.</t>
  </si>
  <si>
    <t xml:space="preserve">None (auto).</t>
  </si>
  <si>
    <t xml:space="preserve">Electronics</t>
  </si>
  <si>
    <t xml:space="preserve">None.</t>
  </si>
  <si>
    <t xml:space="preserve">Standalone TCU (TurboLamik ~$2.4k, analog inputs from ME7), shifter, wiring, calibration, immobilizer/park-lock handling.</t>
  </si>
  <si>
    <t xml:space="preserve">Torque capacity</t>
  </si>
  <si>
    <t xml:space="preserve">~300 lb-ft (~405 Nm); dislikes launches and hard shifts; can get stiff when hot on track.</t>
  </si>
  <si>
    <t xml:space="preserve">8HP50: 500 Nm (~369 lb-ft). 8HP70: 700 Nm if you want margin (heavier).</t>
  </si>
  <si>
    <t xml:space="preserve">Weight / size</t>
  </si>
  <si>
    <t xml:space="preserve">Compact; ~40–45 kg (estimate, not verified).</t>
  </si>
  <si>
    <t xml:space="preserve">~75–80 kg (8HP50) + 33 mm plate; bigger tunnel/crossmember work.</t>
  </si>
  <si>
    <t xml:space="preserve">Shift quality with stock ME7</t>
  </si>
  <si>
    <t xml:space="preserve">Normal manual.</t>
  </si>
  <si>
    <t xml:space="preserve">Harsher shifts — ME7 won't cut torque on TCU request without custom tuning.</t>
  </si>
  <si>
    <t xml:space="preserve">Drift / track</t>
  </si>
  <si>
    <t xml:space="preserve">Clutch kicks, full manual control. Brett's drift car uses it.</t>
  </si>
  <si>
    <t xml:space="preserve">Fast paddle shifts in manual mode, but no clutch kick; cooling needed.</t>
  </si>
  <si>
    <t xml:space="preserve">Effort</t>
  </si>
  <si>
    <t xml:space="preserve">Medium: mechanical fitting + clutch geometry.</t>
  </si>
  <si>
    <t xml:space="preserve">High: mechanical + TCU wiring/calibration + cooling + starter.</t>
  </si>
  <si>
    <t xml:space="preserve">Verdict</t>
  </si>
  <si>
    <t xml:space="preserve">RX-8 for v1: less than half the cost, every part is off the shelf, it's proven on a 07K, and it needs no electronics. Its weak point is torque (~300 lb-ft), which fits the planned ~280 lb-ft cap. The 8HP makes sense later for more torque or paddle shifting, but only after DomiWorks confirms 07K fitment and a starter solution.</t>
  </si>
  <si>
    <t xml:space="preserve">07K → Mazda RX-8 6-speed: parts list</t>
  </si>
  <si>
    <t xml:space="preserve">Blue cells are editable: Qty, Cur, Unit low/high, Include (Y/N). CAD columns use the rates on the Assumptions tab. Include = N rows are greyed out and left out of the totals.</t>
  </si>
  <si>
    <t xml:space="preserve">ID</t>
  </si>
  <si>
    <t xml:space="preserve">Part</t>
  </si>
  <si>
    <t xml:space="preserve">Spec / notes</t>
  </si>
  <si>
    <t xml:space="preserve">Qty</t>
  </si>
  <si>
    <t xml:space="preserve">Cur</t>
  </si>
  <si>
    <t xml:space="preserve">Unit low</t>
  </si>
  <si>
    <t xml:space="preserve">Unit high</t>
  </si>
  <si>
    <t xml:space="preserve">Ext low (CAD)</t>
  </si>
  <si>
    <t xml:space="preserve">Ext high (CAD)</t>
  </si>
  <si>
    <t xml:space="preserve">Include</t>
  </si>
  <si>
    <t xml:space="preserve">Basis</t>
  </si>
  <si>
    <t xml:space="preserve">Source</t>
  </si>
  <si>
    <t xml:space="preserve">R1</t>
  </si>
  <si>
    <t xml:space="preserve">Mazda RX-8 6-speed manual, used (Aisin AZ6)</t>
  </si>
  <si>
    <t xml:space="preserve">S1 2004–08 is the common one. A YouTube commenter says the 2009–11 S2 box is stronger with the same bolt pattern (unverified). Comes with RX-8 slave + release bearing.</t>
  </si>
  <si>
    <t xml:space="preserve">USD</t>
  </si>
  <si>
    <t xml:space="preserve">Y</t>
  </si>
  <si>
    <t xml:space="preserve">Verified</t>
  </si>
  <si>
    <t xml:space="preserve">https://www.ebay.com/b/Complete-Manual-Transmissions-for-Mazda-RX-8/171117/bn_1435951</t>
  </si>
  <si>
    <t xml:space="preserve">R2</t>
  </si>
  <si>
    <t xml:space="preserve">Freight for the gearbox</t>
  </si>
  <si>
    <t xml:space="preserve">Typical eBay shipping on these listings.</t>
  </si>
  <si>
    <t xml:space="preserve">R3</t>
  </si>
  <si>
    <t xml:space="preserve">Adapter plate: VW PD/1.8T 20V → RX-8, upright (RX8002)</t>
  </si>
  <si>
    <t xml:space="preserve">Engine sits upright instead of VW's 15° lean. Usually in stock, ships next working day. Brett Horn's first-video plate — his build needed a 'resolving bolt alignment' step, so confirm the 07K holes line up. OFF by default: you are making your own (R3M).</t>
  </si>
  <si>
    <t xml:space="preserve">GBP</t>
  </si>
  <si>
    <t xml:space="preserve">N</t>
  </si>
  <si>
    <t xml:space="preserve">https://www.rx8gearboxadapters.com/product-page/vw-pd-1-8t-20v-vertically-mounted</t>
  </si>
  <si>
    <t xml:space="preserve">R4</t>
  </si>
  <si>
    <t xml:space="preserve">ALT: same plate at 20° lean (RX8049)</t>
  </si>
  <si>
    <t xml:space="preserve">Made to order (~2 weeks). Brett switched to this one to tilt the engine for clearance. Set Include = Y and R3 = N to switch.</t>
  </si>
  <si>
    <t xml:space="preserve">https://www.rx8gearboxadapters.com/product-page/copy-of-vw-pd-1-8t-20v-mounted-20degrees</t>
  </si>
  <si>
    <t xml:space="preserve">R5</t>
  </si>
  <si>
    <t xml:space="preserve">Bolt kit (RX8027)</t>
  </si>
  <si>
    <t xml:space="preserve">High-tensile cap heads + nylocs: plate→block and RX-8 bell→plate. OFF by default: lengths depend on your plate thickness (see R5M).</t>
  </si>
  <si>
    <t xml:space="preserve">https://www.rx8gearboxadapters.com/product-page/vw-pd-1-8t-bolt-kit-rx8027</t>
  </si>
  <si>
    <t xml:space="preserve">R6</t>
  </si>
  <si>
    <t xml:space="preserve">Spigot (pilot) bearing (RX8017)</t>
  </si>
  <si>
    <t xml:space="preserve">Supports the RX-8 input shaft in the crank. Maker names it as the correct one for this conversion.</t>
  </si>
  <si>
    <t xml:space="preserve">https://www.rx8gearboxadapters.com/product-page/rx8-spigot-bearing-rx8017</t>
  </si>
  <si>
    <t xml:space="preserve">R7</t>
  </si>
  <si>
    <t xml:space="preserve">Concentric slave cylinder kit, RX-8 6-speed (RX8032)</t>
  </si>
  <si>
    <t xml:space="preserve">CSC (42 mm ID / 63 mm OD bearing), billet adapter, spacer plates, hardware, PDF setup guide. Brett needed a CSC because the 07K timing-cover / vacuum-pump casting blocks the RX-8 fork. Set N to try the stock RX-8 slave + fork first. OFF by default: making the adapter + spacers yourself (R7M–R7M3) — but note the slave unit alone can cost more than this whole kit.</t>
  </si>
  <si>
    <t xml:space="preserve">https://www.rx8gearboxadapters.com/product-page/rx8-6-speed-concentric-slave-cylinder-set-up</t>
  </si>
  <si>
    <t xml:space="preserve">R8</t>
  </si>
  <si>
    <t xml:space="preserve">UK → Canada courier (spigot bearing only now)</t>
  </si>
  <si>
    <t xml:space="preserve">Rough courier cost; or find the same bearing size locally. UK-origin parts are duty-free under the Canada–UK trade agreement; HST is charged on the Summary tab.</t>
  </si>
  <si>
    <t xml:space="preserve">Estimate</t>
  </si>
  <si>
    <t xml:space="preserve">R3M</t>
  </si>
  <si>
    <t xml:space="preserve">MAKE: adapter plate — 6061-T6 (or MIC-6 cast) plate</t>
  </si>
  <si>
    <t xml:space="preserve">~16 × 16 in blank; thickness from your stack-up (§13). Machined yourself on the school CNC mill (check travel ≥ plate size, ~16 in): profile, bolt holes, starter mount, dowel holes drilled + reamed. CEED's CO2 lasers can't cut aluminium; SendCutSend can laser it (≤0.75 in, ±0.005 in) if there's no CNC. 1/4 in × 16 × 16 is ~US$67, so 3/4 in is roughly 3×.</t>
  </si>
  <si>
    <t xml:space="preserve">https://www.ebay.com/itm/365068559418</t>
  </si>
  <si>
    <t xml:space="preserve">R3M2</t>
  </si>
  <si>
    <t xml:space="preserve">MAKE: dowel pins (hardened) + reamer if the shop lacks the size</t>
  </si>
  <si>
    <t xml:space="preserve">Match the VW block and RX-8 bell dowel diameters. Add offset dowels if runout &gt; 0.005 in.</t>
  </si>
  <si>
    <t xml:space="preserve">https://americanpowertrain.com/general-bellhousing-alignment-instructions/</t>
  </si>
  <si>
    <t xml:space="preserve">R5M</t>
  </si>
  <si>
    <t xml:space="preserve">MAKE: fasteners — 10.9 cap screws, nuts, washers</t>
  </si>
  <si>
    <t xml:space="preserve">Block→plate and bell→plate; lengths from your plate thickness.</t>
  </si>
  <si>
    <t xml:space="preserve">R7M</t>
  </si>
  <si>
    <t xml:space="preserve">BUY: concentric slave cylinder unit</t>
  </si>
  <si>
    <t xml:space="preserve">The only part of the slave setup you can't make. Range: a cheap OE-style CSC (if you find one whose bore clears the RX-8 snout) up to a Tilton 1000/6100-series universal (US$370–460).</t>
  </si>
  <si>
    <t xml:space="preserve">https://www.speedwaymotors.com/Tilton-60-6100-Flat-Face-Hydraulic-Release-Bearing-Universal,413901.html</t>
  </si>
  <si>
    <t xml:space="preserve">R7M2</t>
  </si>
  <si>
    <t xml:space="preserve">MAKE: CSC mounting adapter — 6061 round bar</t>
  </si>
  <si>
    <t xml:space="preserve">~4–5 in dia × 2 in. Lathe part: bore over the RX-8 input snout, M8 pattern to the box, M6 pattern for the CSC.</t>
  </si>
  <si>
    <t xml:space="preserve">R7M3</t>
  </si>
  <si>
    <t xml:space="preserve">MAKE: CSC spacer plates — aluminium sheet</t>
  </si>
  <si>
    <t xml:space="preserve">Set release-bearing-to-finger gap. Several thicknesses.</t>
  </si>
  <si>
    <t xml:space="preserve">R9</t>
  </si>
  <si>
    <t xml:space="preserve">Flywheel + pressure plate: Valeo single-mass conversion kit, Audi B5/B6 A4 1.8T 5-speed (228 mm)</t>
  </si>
  <si>
    <t xml:space="preserve">The maker's recipe calls for the Audi longitudinal single-mass flywheel + its pressure plate. 07K shares the 1.8T flywheel bolt pattern (6-bolt; 8-bolt if the crank is a TT-RS one). Kit's own disc has the Audi spline and is NOT used. Ring gear is on the side the longitudinal starter needs.</t>
  </si>
  <si>
    <t xml:space="preserve">https://www.ecstuning.com/b-ecs-parts/ra4-single-mass-flywheel-kit/ecs212321b5kt/</t>
  </si>
  <si>
    <t xml:space="preserve">R10</t>
  </si>
  <si>
    <t xml:space="preserve">Clutch disc: 228 mm, 1" × 23-spline (Ford gearbox spline)</t>
  </si>
  <si>
    <t xml:space="preserve">Fits the RX-8 input (RX-8 clutches are listed as 23-spline). Heavy-duty organic for the 07K's torque; Brett runs an aftermarket disc (Southbend sponsors him). Price not confirmed — QED page blocked.</t>
  </si>
  <si>
    <t xml:space="preserve">https://qedmotorsport.co.uk/product/clutch-plate-228mm-1-x-23-spline-ford-box-heavy-duty-organic-helix/</t>
  </si>
  <si>
    <t xml:space="preserve">R11</t>
  </si>
  <si>
    <t xml:space="preserve">Starter: Audi A4 B6 1.9 TDI PD, 5-speed manual (068911024F)</t>
  </si>
  <si>
    <t xml:space="preserve">The maker's specified starter; mounts on the adapter plate. Range covers used to new aftermarket.</t>
  </si>
  <si>
    <t xml:space="preserve">https://www.ebay.co.uk/p/1509332173</t>
  </si>
  <si>
    <t xml:space="preserve">R12</t>
  </si>
  <si>
    <t xml:space="preserve">Clutch hydraulic line + fittings (CSC → master)</t>
  </si>
  <si>
    <t xml:space="preserve">Maker: 'all you will need is a brake line'. Master/pedal are chassis-side, not counted.</t>
  </si>
  <si>
    <t xml:space="preserve">R13</t>
  </si>
  <si>
    <t xml:space="preserve">MAKE: vacuum pump block-off plate (only if the pump hits)</t>
  </si>
  <si>
    <t xml:space="preserve">Not a flat plate: copy IE's design — flange + a collar that slides into the pump bore to block the pump's oil feed, sealed with an O-ring (no paper gasket). Lathe for the collar/O-ring groove, mill for the bolt holes. Only needed if you delete the pump for clearance.</t>
  </si>
  <si>
    <t xml:space="preserve">R14</t>
  </si>
  <si>
    <t xml:space="preserve">Gear oil for the RX-8 box</t>
  </si>
  <si>
    <t xml:space="preserve">~1.6–1.7 L 75W-90 (check the RX-8 manual).</t>
  </si>
  <si>
    <t xml:space="preserve">R16</t>
  </si>
  <si>
    <t xml:space="preserve">Machining labour: uOttawa work-order shop</t>
  </si>
  <si>
    <t xml:space="preserve">Qty = estimated shop hours for the adapter plate (~4–7 h incl. CAM/setup), CSC adapter (~1.5–2.5 h) and spacers — a rough guess, get a quote. Unit low = Faculty of Science rate $35/h, unit high = uOttawa community rate $90/h (Engineering students pay $90 unless the shop says otherwise). OFF: you have free self-serve access to a CNC mill, lathe and welding.</t>
  </si>
  <si>
    <t xml:space="preserve">CAD</t>
  </si>
  <si>
    <t xml:space="preserve">R15</t>
  </si>
  <si>
    <t xml:space="preserve">Clutch alignment tool (3D-printed)</t>
  </si>
  <si>
    <t xml:space="preserve">No off-the-shelf tool fits a VW crank pilot + RX-8 spline.</t>
  </si>
  <si>
    <t xml:space="preserve">Subtotal (CAD)</t>
  </si>
  <si>
    <t xml:space="preserve">HST</t>
  </si>
  <si>
    <t xml:space="preserve">TOTAL incl. HST (CAD)</t>
  </si>
  <si>
    <t xml:space="preserve">07K → ZF 8HP (BMW): parts list</t>
  </si>
  <si>
    <t xml:space="preserve">H1</t>
  </si>
  <si>
    <t xml:space="preserve">Adapter kit: DomiWorks VW 1.8T/1.9T → BMW 8HP</t>
  </si>
  <si>
    <t xml:space="preserve">33 mm anodised aluminium plate, billet SS2541 steel flywheel/flexplate, flywheel centre guide, bolts, dowels. Fits the 'N57' bell: 8HP45 (N47), 8HP50/51 (B38/B48/B58), 8HP70/75 (N57/B57), 8HP76 (S58). NOT confirmed for the 07K — email them. No starter info. Low = Perfect Tuning (Quebec) price; high = DomiWorks export price.</t>
  </si>
  <si>
    <t xml:space="preserve">https://www.domi-works.com/products/vw-1-8t-1-8t-to-bmw-8hp-45-50-70-75-n47-n57-b57-b58-s58-adapter-kit</t>
  </si>
  <si>
    <t xml:space="preserve">H2</t>
  </si>
  <si>
    <t xml:space="preserve">Shipping / brokerage for the adapter kit</t>
  </si>
  <si>
    <t xml:space="preserve">Lower if bought from the Quebec dealer.</t>
  </si>
  <si>
    <t xml:space="preserve">https://www.8hptheworld.com/shop/domiworks-21015002-domiworks-vw-1-8t-1-9t-8hp-n47-n57-b57-b58-s58-adapter-kit-79377</t>
  </si>
  <si>
    <t xml:space="preserve">H3</t>
  </si>
  <si>
    <t xml:space="preserve">ZF 8HP50 (GA8HP50Z), used, from a 2016–19 F-series B48/B58, RWD</t>
  </si>
  <si>
    <t xml:space="preserve">Buy with torque converter + mechatronic. 500 Nm (~369 lb-ft) rating. Avoid the N20 8HP45 (different bell pattern), AWD cases, and G-series 8HP51 (extra TurboLamik parts).</t>
  </si>
  <si>
    <t xml:space="preserve">https://www.ebay.com/shop/8hp50-transmission?_nkw=8hp50+transmission</t>
  </si>
  <si>
    <t xml:space="preserve">H4</t>
  </si>
  <si>
    <t xml:space="preserve">H5</t>
  </si>
  <si>
    <t xml:space="preserve">Torque converter: donor unit</t>
  </si>
  <si>
    <t xml:space="preserve">Must seat fully ('3 clicks') with ≤0.05 mm runout or the pump fails. The DomiWorks centre guide handles centring.</t>
  </si>
  <si>
    <t xml:space="preserve">https://pmcmotorsport-shop.com/ZF-8HP-SWAP-Diagnostics-Tuning-choosing-right-TCU-blog-eng-1775051619.html</t>
  </si>
  <si>
    <t xml:space="preserve">H6</t>
  </si>
  <si>
    <t xml:space="preserve">TCU: TurboLamik TCU 2.0 full kit</t>
  </si>
  <si>
    <t xml:space="preserve">TCU, harness, program switch, display, mechatronic cover. Takes ANALOG RPM / TPS / MAP, so it can run beside the stock VW ME7 ECU. Replaces the gearbox's control board, so the BMW immobilizer lock doesn't apply.</t>
  </si>
  <si>
    <t xml:space="preserve">https://www.turbolamik.us/tcu-accessories/tcu-turbolamik-full-kit/</t>
  </si>
  <si>
    <t xml:space="preserve">H7</t>
  </si>
  <si>
    <t xml:space="preserve">ALT TCU: CANformance CANTCU</t>
  </si>
  <si>
    <t xml:space="preserve">Keeps the OEM mechatronic and unlocks the immobilizer remotely. VW ME7 is NOT on its supported-ECU list — analog/custom setup only after contacting CANformance. Set H6 = N and H7 + H8 = Y to switch.</t>
  </si>
  <si>
    <t xml:space="preserve">https://www.domi-works.com/products/canformance-cantcu-transmission-controller</t>
  </si>
  <si>
    <t xml:space="preserve">H8</t>
  </si>
  <si>
    <t xml:space="preserve">ALT: CANTCU plug-and-play harness (DomiWorks)</t>
  </si>
  <si>
    <t xml:space="preserve">Only with H7.</t>
  </si>
  <si>
    <t xml:space="preserve">https://www.domi-works.com/products/cantcu-8hp-dct-wiring-harness-kit</t>
  </si>
  <si>
    <t xml:space="preserve">H9</t>
  </si>
  <si>
    <t xml:space="preserve">Shifter: used BMW F30 gear selector</t>
  </si>
  <si>
    <t xml:space="preserve">Shift-by-wire, no linkage.</t>
  </si>
  <si>
    <t xml:space="preserve">https://www.ebay.com/itm/265802875523</t>
  </si>
  <si>
    <t xml:space="preserve">H10</t>
  </si>
  <si>
    <t xml:space="preserve">Paddle shifters</t>
  </si>
  <si>
    <t xml:space="preserve">Wired to TCU inputs. Optional.</t>
  </si>
  <si>
    <t xml:space="preserve">H11</t>
  </si>
  <si>
    <t xml:space="preserve">ATF cooler adapter (DomiWorks Type 1) + AN8 fittings</t>
  </si>
  <si>
    <t xml:space="preserve">$95 adapter + $16 fittings.</t>
  </si>
  <si>
    <t xml:space="preserve">https://www.domi-works.com/products/8hp-oil-cooler-adapter-n57</t>
  </si>
  <si>
    <t xml:space="preserve">H12</t>
  </si>
  <si>
    <t xml:space="preserve">ATF cooler, AN lines, thermostat</t>
  </si>
  <si>
    <t xml:space="preserve">H13</t>
  </si>
  <si>
    <t xml:space="preserve">ATF: ZF Lifeguard 8, ~9 L dry fill</t>
  </si>
  <si>
    <t xml:space="preserve">Fill + level procedure and a fill adaptation step are required.</t>
  </si>
  <si>
    <t xml:space="preserve">https://automaxxparts.com/products/zf-lifeguard-8-transmission-fluid-1-liter-jug-for-zf8hp45-8hp50-70-2010</t>
  </si>
  <si>
    <t xml:space="preserve">H14</t>
  </si>
  <si>
    <t xml:space="preserve">Park-lock release cable (SLG/HPR)</t>
  </si>
  <si>
    <t xml:space="preserve">Park lock defaults to engaged with no power — mandatory for towing / moving the car. NOK 2,199.</t>
  </si>
  <si>
    <t xml:space="preserve">https://hpr-tuning.com/products/slg-hpr-park-lock-release-for-bmw</t>
  </si>
  <si>
    <t xml:space="preserve">H15</t>
  </si>
  <si>
    <t xml:space="preserve">Starter solution</t>
  </si>
  <si>
    <t xml:space="preserve">UNKNOWN — DomiWorks gives none for this kit (their AAN kit needs the case notched). Bracket / machining / starter allowance.</t>
  </si>
  <si>
    <t xml:space="preserve">H16</t>
  </si>
  <si>
    <t xml:space="preserve">ALT: uprated torque converter (Spool 8HPX / Dodson)</t>
  </si>
  <si>
    <t xml:space="preserve">Optional, for higher stall.</t>
  </si>
  <si>
    <t xml:space="preserve">https://spoolperformance.com/products/8hpx-high-stall-upgraded-torque-converter</t>
  </si>
  <si>
    <t xml:space="preserve">Assumptions</t>
  </si>
  <si>
    <t xml:space="preserve">Currency</t>
  </si>
  <si>
    <t xml:space="preserve">CAD per unit</t>
  </si>
  <si>
    <t xml:space="preserve">—</t>
  </si>
  <si>
    <t xml:space="preserve">Rate used in the Oct 4, 2026 planning notes. Update before ordering.</t>
  </si>
  <si>
    <t xml:space="preserve">Estimate — update before ordering.</t>
  </si>
  <si>
    <t xml:space="preserve">Ontario HST on purchases / imports</t>
  </si>
  <si>
    <t xml:space="preserve">Charged at the border on imports, or at sale. UK- and EU-origin parts are duty-free (CUKTCA / CETA); brokerage fees may apply.</t>
  </si>
  <si>
    <t xml:space="preserve">Scope</t>
  </si>
  <si>
    <t xml:space="preserve">Engine-to-gearbox job only, plus what each gearbox needs to work (clutch release, control, cooling, fluid). Chassis-side parts are excluded on both sides: mounts, driveshaft, shifter linkage/tunnel, clutch master &amp; pedal.</t>
  </si>
  <si>
    <t xml:space="preserve">Basis: 'Verified' = price/spec seen on the source URL (Oct 4, 2026; some are eBay listing ranges); 'Estimate' = rough figure, check before buying.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</si>
</sst>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;&quot;($&quot;#,##0\);\-"/>
    <numFmt numFmtId="166" formatCode="0.0\x"/>
    <numFmt numFmtId="167" formatCode="0.00"/>
    <numFmt numFmtId="168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color theme="1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EDEDED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color rgb="FF808080"/>
      </font>
      <fill>
        <patternFill>
          <bgColor rgb="FFEDEDE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ebay.com/b/Complete-Manual-Transmissions-for-Mazda-RX-8/171117/bn_1435951" TargetMode="External"/><Relationship Id="rId2" Type="http://schemas.openxmlformats.org/officeDocument/2006/relationships/hyperlink" Target="https://www.ebay.com/b/Complete-Manual-Transmissions-for-Mazda-RX-8/171117/bn_1435951" TargetMode="External"/><Relationship Id="rId3" Type="http://schemas.openxmlformats.org/officeDocument/2006/relationships/hyperlink" Target="https://www.rx8gearboxadapters.com/product-page/vw-pd-1-8t-20v-vertically-mounted" TargetMode="External"/><Relationship Id="rId4" Type="http://schemas.openxmlformats.org/officeDocument/2006/relationships/hyperlink" Target="https://www.rx8gearboxadapters.com/product-page/copy-of-vw-pd-1-8t-20v-mounted-20degrees" TargetMode="External"/><Relationship Id="rId5" Type="http://schemas.openxmlformats.org/officeDocument/2006/relationships/hyperlink" Target="https://www.rx8gearboxadapters.com/product-page/vw-pd-1-8t-bolt-kit-rx8027" TargetMode="External"/><Relationship Id="rId6" Type="http://schemas.openxmlformats.org/officeDocument/2006/relationships/hyperlink" Target="https://www.rx8gearboxadapters.com/product-page/rx8-spigot-bearing-rx8017" TargetMode="External"/><Relationship Id="rId7" Type="http://schemas.openxmlformats.org/officeDocument/2006/relationships/hyperlink" Target="https://www.rx8gearboxadapters.com/product-page/rx8-6-speed-concentric-slave-cylinder-set-up" TargetMode="External"/><Relationship Id="rId8" Type="http://schemas.openxmlformats.org/officeDocument/2006/relationships/hyperlink" Target="https://www.ebay.com/itm/365068559418" TargetMode="External"/><Relationship Id="rId9" Type="http://schemas.openxmlformats.org/officeDocument/2006/relationships/hyperlink" Target="https://americanpowertrain.com/general-bellhousing-alignment-instructions/" TargetMode="External"/><Relationship Id="rId10" Type="http://schemas.openxmlformats.org/officeDocument/2006/relationships/hyperlink" Target="https://www.speedwaymotors.com/Tilton-60-6100-Flat-Face-Hydraulic-Release-Bearing-Universal,413901.html" TargetMode="External"/><Relationship Id="rId11" Type="http://schemas.openxmlformats.org/officeDocument/2006/relationships/hyperlink" Target="https://www.ecstuning.com/b-ecs-parts/ra4-single-mass-flywheel-kit/ecs212321b5kt/" TargetMode="External"/><Relationship Id="rId12" Type="http://schemas.openxmlformats.org/officeDocument/2006/relationships/hyperlink" Target="https://qedmotorsport.co.uk/product/clutch-plate-228mm-1-x-23-spline-ford-box-heavy-duty-organic-helix/" TargetMode="External"/><Relationship Id="rId13" Type="http://schemas.openxmlformats.org/officeDocument/2006/relationships/hyperlink" Target="https://www.ebay.co.uk/p/1509332173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domi-works.com/products/vw-1-8t-1-8t-to-bmw-8hp-45-50-70-75-n47-n57-b57-b58-s58-adapter-kit" TargetMode="External"/><Relationship Id="rId2" Type="http://schemas.openxmlformats.org/officeDocument/2006/relationships/hyperlink" Target="https://www.8hptheworld.com/shop/domiworks-21015002-domiworks-vw-1-8t-1-9t-8hp-n47-n57-b57-b58-s58-adapter-kit-79377" TargetMode="External"/><Relationship Id="rId3" Type="http://schemas.openxmlformats.org/officeDocument/2006/relationships/hyperlink" Target="https://www.ebay.com/shop/8hp50-transmission?_nkw=8hp50+transmission" TargetMode="External"/><Relationship Id="rId4" Type="http://schemas.openxmlformats.org/officeDocument/2006/relationships/hyperlink" Target="https://www.ebay.com/shop/8hp50-transmission?_nkw=8hp50+transmission" TargetMode="External"/><Relationship Id="rId5" Type="http://schemas.openxmlformats.org/officeDocument/2006/relationships/hyperlink" Target="https://pmcmotorsport-shop.com/ZF-8HP-SWAP-Diagnostics-Tuning-choosing-right-TCU-blog-eng-1775051619.html" TargetMode="External"/><Relationship Id="rId6" Type="http://schemas.openxmlformats.org/officeDocument/2006/relationships/hyperlink" Target="https://www.turbolamik.us/tcu-accessories/tcu-turbolamik-full-kit/" TargetMode="External"/><Relationship Id="rId7" Type="http://schemas.openxmlformats.org/officeDocument/2006/relationships/hyperlink" Target="https://www.domi-works.com/products/canformance-cantcu-transmission-controller" TargetMode="External"/><Relationship Id="rId8" Type="http://schemas.openxmlformats.org/officeDocument/2006/relationships/hyperlink" Target="https://www.domi-works.com/products/cantcu-8hp-dct-wiring-harness-kit" TargetMode="External"/><Relationship Id="rId9" Type="http://schemas.openxmlformats.org/officeDocument/2006/relationships/hyperlink" Target="https://www.ebay.com/itm/265802875523" TargetMode="External"/><Relationship Id="rId10" Type="http://schemas.openxmlformats.org/officeDocument/2006/relationships/hyperlink" Target="https://www.domi-works.com/products/8hp-oil-cooler-adapter-n57" TargetMode="External"/><Relationship Id="rId11" Type="http://schemas.openxmlformats.org/officeDocument/2006/relationships/hyperlink" Target="https://automaxxparts.com/products/zf-lifeguard-8-transmission-fluid-1-liter-jug-for-zf8hp45-8hp50-70-2010" TargetMode="External"/><Relationship Id="rId12" Type="http://schemas.openxmlformats.org/officeDocument/2006/relationships/hyperlink" Target="https://hpr-tuning.com/products/slg-hpr-park-lock-release-for-bmw" TargetMode="External"/><Relationship Id="rId13" Type="http://schemas.openxmlformats.org/officeDocument/2006/relationships/hyperlink" Target="https://spoolperformance.com/products/8hpx-high-stall-upgraded-torque-converter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55"/>
  </cols>
  <sheetData>
    <row r="1" customFormat="false" ht="17.35" hidden="false" customHeight="false" outlineLevel="0" collapsed="false">
      <c r="A1" s="1" t="s">
        <v>0</v>
      </c>
      <c r="B1" s="2"/>
      <c r="C1" s="2"/>
    </row>
    <row r="2" customFormat="false" ht="15" hidden="false" customHeight="false" outlineLevel="0" collapsed="false">
      <c r="A2" s="3" t="s">
        <v>1</v>
      </c>
      <c r="B2" s="2"/>
      <c r="C2" s="2"/>
    </row>
    <row r="3" customFormat="false" ht="15" hidden="false" customHeight="false" outlineLevel="0" collapsed="false">
      <c r="A3" s="2"/>
      <c r="B3" s="2"/>
      <c r="C3" s="2"/>
    </row>
    <row r="4" customFormat="false" ht="15" hidden="false" customHeight="false" outlineLevel="0" collapsed="false">
      <c r="A4" s="4"/>
      <c r="B4" s="4" t="s">
        <v>2</v>
      </c>
      <c r="C4" s="4" t="s">
        <v>3</v>
      </c>
    </row>
    <row r="5" customFormat="false" ht="15" hidden="false" customHeight="false" outlineLevel="0" collapsed="false">
      <c r="A5" s="5" t="s">
        <v>4</v>
      </c>
      <c r="B5" s="6" t="n">
        <f aca="false">'RX-8 BOM'!H29</f>
        <v>2475.6605</v>
      </c>
      <c r="C5" s="6" t="n">
        <f aca="false">'8HP BOM'!H23</f>
        <v>8497.9616</v>
      </c>
    </row>
    <row r="6" customFormat="false" ht="15" hidden="false" customHeight="false" outlineLevel="0" collapsed="false">
      <c r="A6" s="5" t="s">
        <v>5</v>
      </c>
      <c r="B6" s="6" t="n">
        <f aca="false">'RX-8 BOM'!I29</f>
        <v>5925.0081</v>
      </c>
      <c r="C6" s="6" t="n">
        <f aca="false">'8HP BOM'!I23</f>
        <v>11651.0006</v>
      </c>
    </row>
    <row r="7" customFormat="false" ht="15" hidden="false" customHeight="false" outlineLevel="0" collapsed="false">
      <c r="A7" s="5" t="s">
        <v>6</v>
      </c>
      <c r="B7" s="5"/>
      <c r="C7" s="7" t="n">
        <f aca="false">IF(B5+B6=0,0,(C5+C6)/(B5+B6))</f>
        <v>2.39849506740452</v>
      </c>
    </row>
    <row r="8" customFormat="false" ht="15" hidden="false" customHeight="false" outlineLevel="0" collapsed="false">
      <c r="A8" s="8" t="s">
        <v>7</v>
      </c>
      <c r="B8" s="2"/>
      <c r="C8" s="2"/>
    </row>
    <row r="9" customFormat="false" ht="45.75" hidden="false" customHeight="true" outlineLevel="0" collapsed="false">
      <c r="A9" s="9" t="s">
        <v>8</v>
      </c>
      <c r="B9" s="10" t="s">
        <v>9</v>
      </c>
      <c r="C9" s="10" t="s">
        <v>10</v>
      </c>
    </row>
    <row r="10" customFormat="false" ht="45.75" hidden="false" customHeight="true" outlineLevel="0" collapsed="false">
      <c r="A10" s="9" t="s">
        <v>11</v>
      </c>
      <c r="B10" s="10" t="s">
        <v>12</v>
      </c>
      <c r="C10" s="10" t="s">
        <v>13</v>
      </c>
    </row>
    <row r="11" customFormat="false" ht="45.75" hidden="false" customHeight="true" outlineLevel="0" collapsed="false">
      <c r="A11" s="9" t="s">
        <v>14</v>
      </c>
      <c r="B11" s="10" t="s">
        <v>15</v>
      </c>
      <c r="C11" s="10" t="s">
        <v>16</v>
      </c>
    </row>
    <row r="12" customFormat="false" ht="45.75" hidden="false" customHeight="true" outlineLevel="0" collapsed="false">
      <c r="A12" s="9" t="s">
        <v>17</v>
      </c>
      <c r="B12" s="10" t="s">
        <v>18</v>
      </c>
      <c r="C12" s="10" t="s">
        <v>19</v>
      </c>
    </row>
    <row r="13" customFormat="false" ht="45.75" hidden="false" customHeight="true" outlineLevel="0" collapsed="false">
      <c r="A13" s="9" t="s">
        <v>20</v>
      </c>
      <c r="B13" s="10" t="s">
        <v>21</v>
      </c>
      <c r="C13" s="10" t="s">
        <v>22</v>
      </c>
    </row>
    <row r="14" customFormat="false" ht="45.75" hidden="false" customHeight="true" outlineLevel="0" collapsed="false">
      <c r="A14" s="9" t="s">
        <v>23</v>
      </c>
      <c r="B14" s="10" t="s">
        <v>24</v>
      </c>
      <c r="C14" s="10" t="s">
        <v>25</v>
      </c>
    </row>
    <row r="15" customFormat="false" ht="45.75" hidden="false" customHeight="true" outlineLevel="0" collapsed="false">
      <c r="A15" s="9" t="s">
        <v>26</v>
      </c>
      <c r="B15" s="10" t="s">
        <v>27</v>
      </c>
      <c r="C15" s="10" t="s">
        <v>28</v>
      </c>
    </row>
    <row r="16" customFormat="false" ht="45.75" hidden="false" customHeight="true" outlineLevel="0" collapsed="false">
      <c r="A16" s="9" t="s">
        <v>29</v>
      </c>
      <c r="B16" s="10" t="s">
        <v>30</v>
      </c>
      <c r="C16" s="10" t="s">
        <v>31</v>
      </c>
    </row>
    <row r="17" customFormat="false" ht="45.75" hidden="false" customHeight="true" outlineLevel="0" collapsed="false">
      <c r="A17" s="9" t="s">
        <v>32</v>
      </c>
      <c r="B17" s="10" t="s">
        <v>33</v>
      </c>
      <c r="C17" s="10" t="s">
        <v>34</v>
      </c>
    </row>
    <row r="18" customFormat="false" ht="45.75" hidden="false" customHeight="true" outlineLevel="0" collapsed="false">
      <c r="A18" s="9" t="s">
        <v>35</v>
      </c>
      <c r="B18" s="10" t="s">
        <v>36</v>
      </c>
      <c r="C18" s="10" t="s">
        <v>37</v>
      </c>
    </row>
    <row r="19" customFormat="false" ht="45.75" hidden="false" customHeight="true" outlineLevel="0" collapsed="false">
      <c r="A19" s="9" t="s">
        <v>38</v>
      </c>
      <c r="B19" s="10" t="s">
        <v>39</v>
      </c>
      <c r="C19" s="10" t="s">
        <v>40</v>
      </c>
    </row>
    <row r="20" customFormat="false" ht="45.75" hidden="false" customHeight="true" outlineLevel="0" collapsed="false">
      <c r="A20" s="9" t="s">
        <v>41</v>
      </c>
      <c r="B20" s="10" t="s">
        <v>42</v>
      </c>
      <c r="C20" s="10" t="s">
        <v>43</v>
      </c>
    </row>
    <row r="21" customFormat="false" ht="15" hidden="false" customHeight="false" outlineLevel="0" collapsed="false">
      <c r="A21" s="2"/>
      <c r="B21" s="2"/>
      <c r="C21" s="2"/>
    </row>
    <row r="22" customFormat="false" ht="48" hidden="false" customHeight="true" outlineLevel="0" collapsed="false">
      <c r="A22" s="8" t="s">
        <v>44</v>
      </c>
      <c r="B22" s="11" t="s">
        <v>45</v>
      </c>
      <c r="C22" s="11"/>
    </row>
  </sheetData>
  <mergeCells count="1">
    <mergeCell ref="B22:C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70"/>
    <col collapsed="false" customWidth="true" hidden="false" outlineLevel="0" max="4" min="4" style="0" width="5"/>
    <col collapsed="false" customWidth="true" hidden="false" outlineLevel="0" max="5" min="5" style="0" width="6"/>
    <col collapsed="false" customWidth="true" hidden="false" outlineLevel="0" max="7" min="6" style="0" width="10"/>
    <col collapsed="false" customWidth="true" hidden="false" outlineLevel="0" max="9" min="8" style="0" width="12"/>
    <col collapsed="false" customWidth="true" hidden="false" outlineLevel="0" max="10" min="10" style="0" width="8"/>
    <col collapsed="false" customWidth="true" hidden="false" outlineLevel="0" max="11" min="11" style="0" width="9"/>
    <col collapsed="false" customWidth="true" hidden="false" outlineLevel="0" max="12" min="12" style="0" width="40"/>
  </cols>
  <sheetData>
    <row r="1" customFormat="false" ht="17.35" hidden="false" customHeight="false" outlineLevel="0" collapsed="false">
      <c r="A1" s="1" t="s">
        <v>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A2" s="3" t="s">
        <v>47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30" hidden="false" customHeight="true" outlineLevel="0" collapsed="false">
      <c r="A4" s="12" t="s">
        <v>48</v>
      </c>
      <c r="B4" s="12" t="s">
        <v>49</v>
      </c>
      <c r="C4" s="12" t="s">
        <v>50</v>
      </c>
      <c r="D4" s="12" t="s">
        <v>51</v>
      </c>
      <c r="E4" s="12" t="s">
        <v>52</v>
      </c>
      <c r="F4" s="12" t="s">
        <v>53</v>
      </c>
      <c r="G4" s="12" t="s">
        <v>54</v>
      </c>
      <c r="H4" s="12" t="s">
        <v>55</v>
      </c>
      <c r="I4" s="12" t="s">
        <v>56</v>
      </c>
      <c r="J4" s="12" t="s">
        <v>57</v>
      </c>
      <c r="K4" s="12" t="s">
        <v>58</v>
      </c>
      <c r="L4" s="12" t="s">
        <v>59</v>
      </c>
    </row>
    <row r="5" customFormat="false" ht="23.85" hidden="false" customHeight="false" outlineLevel="0" collapsed="false">
      <c r="A5" s="13" t="s">
        <v>60</v>
      </c>
      <c r="B5" s="14" t="s">
        <v>61</v>
      </c>
      <c r="C5" s="14" t="s">
        <v>62</v>
      </c>
      <c r="D5" s="15" t="n">
        <v>1</v>
      </c>
      <c r="E5" s="15" t="s">
        <v>63</v>
      </c>
      <c r="F5" s="16" t="n">
        <v>425</v>
      </c>
      <c r="G5" s="16" t="n">
        <v>995</v>
      </c>
      <c r="H5" s="17" t="n">
        <f aca="false">IF($J5="Y",$D5*$F5*INDEX(Assumptions!$B$4:$B$6,MATCH($E5,Assumptions!$A$4:$A$6,0)),0)</f>
        <v>603.5</v>
      </c>
      <c r="I5" s="17" t="n">
        <f aca="false">IF($J5="Y",$D5*$G5*INDEX(Assumptions!$B$4:$B$6,MATCH($E5,Assumptions!$A$4:$A$6,0)),0)</f>
        <v>1412.9</v>
      </c>
      <c r="J5" s="15" t="s">
        <v>64</v>
      </c>
      <c r="K5" s="13" t="s">
        <v>65</v>
      </c>
      <c r="L5" s="18" t="s">
        <v>66</v>
      </c>
    </row>
    <row r="6" customFormat="false" ht="15" hidden="false" customHeight="false" outlineLevel="0" collapsed="false">
      <c r="A6" s="13" t="s">
        <v>67</v>
      </c>
      <c r="B6" s="14" t="s">
        <v>68</v>
      </c>
      <c r="C6" s="14" t="s">
        <v>69</v>
      </c>
      <c r="D6" s="15" t="n">
        <v>1</v>
      </c>
      <c r="E6" s="15" t="s">
        <v>63</v>
      </c>
      <c r="F6" s="16" t="n">
        <v>150</v>
      </c>
      <c r="G6" s="16" t="n">
        <v>350</v>
      </c>
      <c r="H6" s="17" t="n">
        <f aca="false">IF($J6="Y",$D6*$F6*INDEX(Assumptions!$B$4:$B$6,MATCH($E6,Assumptions!$A$4:$A$6,0)),0)</f>
        <v>213</v>
      </c>
      <c r="I6" s="17" t="n">
        <f aca="false">IF($J6="Y",$D6*$G6*INDEX(Assumptions!$B$4:$B$6,MATCH($E6,Assumptions!$A$4:$A$6,0)),0)</f>
        <v>497</v>
      </c>
      <c r="J6" s="15" t="s">
        <v>64</v>
      </c>
      <c r="K6" s="13" t="s">
        <v>65</v>
      </c>
      <c r="L6" s="18" t="s">
        <v>66</v>
      </c>
    </row>
    <row r="7" customFormat="false" ht="35.05" hidden="false" customHeight="false" outlineLevel="0" collapsed="false">
      <c r="A7" s="13" t="s">
        <v>70</v>
      </c>
      <c r="B7" s="14" t="s">
        <v>71</v>
      </c>
      <c r="C7" s="14" t="s">
        <v>72</v>
      </c>
      <c r="D7" s="15" t="n">
        <v>1</v>
      </c>
      <c r="E7" s="15" t="s">
        <v>73</v>
      </c>
      <c r="F7" s="16" t="n">
        <v>140</v>
      </c>
      <c r="G7" s="16" t="n">
        <v>140</v>
      </c>
      <c r="H7" s="17" t="n">
        <f aca="false">IF($J7="Y",$D7*$F7*INDEX(Assumptions!$B$4:$B$6,MATCH($E7,Assumptions!$A$4:$A$6,0)),0)</f>
        <v>0</v>
      </c>
      <c r="I7" s="17" t="n">
        <f aca="false">IF($J7="Y",$D7*$G7*INDEX(Assumptions!$B$4:$B$6,MATCH($E7,Assumptions!$A$4:$A$6,0)),0)</f>
        <v>0</v>
      </c>
      <c r="J7" s="15" t="s">
        <v>74</v>
      </c>
      <c r="K7" s="13" t="s">
        <v>65</v>
      </c>
      <c r="L7" s="18" t="s">
        <v>75</v>
      </c>
    </row>
    <row r="8" customFormat="false" ht="23.85" hidden="false" customHeight="false" outlineLevel="0" collapsed="false">
      <c r="A8" s="13" t="s">
        <v>76</v>
      </c>
      <c r="B8" s="14" t="s">
        <v>77</v>
      </c>
      <c r="C8" s="14" t="s">
        <v>78</v>
      </c>
      <c r="D8" s="15" t="n">
        <v>1</v>
      </c>
      <c r="E8" s="15" t="s">
        <v>73</v>
      </c>
      <c r="F8" s="16" t="n">
        <v>155</v>
      </c>
      <c r="G8" s="16" t="n">
        <v>155</v>
      </c>
      <c r="H8" s="17" t="n">
        <f aca="false">IF($J8="Y",$D8*$F8*INDEX(Assumptions!$B$4:$B$6,MATCH($E8,Assumptions!$A$4:$A$6,0)),0)</f>
        <v>0</v>
      </c>
      <c r="I8" s="17" t="n">
        <f aca="false">IF($J8="Y",$D8*$G8*INDEX(Assumptions!$B$4:$B$6,MATCH($E8,Assumptions!$A$4:$A$6,0)),0)</f>
        <v>0</v>
      </c>
      <c r="J8" s="15" t="s">
        <v>74</v>
      </c>
      <c r="K8" s="13" t="s">
        <v>65</v>
      </c>
      <c r="L8" s="18" t="s">
        <v>79</v>
      </c>
    </row>
    <row r="9" customFormat="false" ht="23.85" hidden="false" customHeight="false" outlineLevel="0" collapsed="false">
      <c r="A9" s="13" t="s">
        <v>80</v>
      </c>
      <c r="B9" s="14" t="s">
        <v>81</v>
      </c>
      <c r="C9" s="14" t="s">
        <v>82</v>
      </c>
      <c r="D9" s="15" t="n">
        <v>1</v>
      </c>
      <c r="E9" s="15" t="s">
        <v>73</v>
      </c>
      <c r="F9" s="16" t="n">
        <v>35</v>
      </c>
      <c r="G9" s="16" t="n">
        <v>35</v>
      </c>
      <c r="H9" s="17" t="n">
        <f aca="false">IF($J9="Y",$D9*$F9*INDEX(Assumptions!$B$4:$B$6,MATCH($E9,Assumptions!$A$4:$A$6,0)),0)</f>
        <v>0</v>
      </c>
      <c r="I9" s="17" t="n">
        <f aca="false">IF($J9="Y",$D9*$G9*INDEX(Assumptions!$B$4:$B$6,MATCH($E9,Assumptions!$A$4:$A$6,0)),0)</f>
        <v>0</v>
      </c>
      <c r="J9" s="15" t="s">
        <v>74</v>
      </c>
      <c r="K9" s="13" t="s">
        <v>65</v>
      </c>
      <c r="L9" s="18" t="s">
        <v>83</v>
      </c>
    </row>
    <row r="10" customFormat="false" ht="15" hidden="false" customHeight="false" outlineLevel="0" collapsed="false">
      <c r="A10" s="13" t="s">
        <v>84</v>
      </c>
      <c r="B10" s="14" t="s">
        <v>85</v>
      </c>
      <c r="C10" s="14" t="s">
        <v>86</v>
      </c>
      <c r="D10" s="15" t="n">
        <v>1</v>
      </c>
      <c r="E10" s="15" t="s">
        <v>73</v>
      </c>
      <c r="F10" s="16" t="n">
        <v>10</v>
      </c>
      <c r="G10" s="16" t="n">
        <v>10</v>
      </c>
      <c r="H10" s="17" t="n">
        <f aca="false">IF($J10="Y",$D10*$F10*INDEX(Assumptions!$B$4:$B$6,MATCH($E10,Assumptions!$A$4:$A$6,0)),0)</f>
        <v>18.5</v>
      </c>
      <c r="I10" s="17" t="n">
        <f aca="false">IF($J10="Y",$D10*$G10*INDEX(Assumptions!$B$4:$B$6,MATCH($E10,Assumptions!$A$4:$A$6,0)),0)</f>
        <v>18.5</v>
      </c>
      <c r="J10" s="15" t="s">
        <v>64</v>
      </c>
      <c r="K10" s="13" t="s">
        <v>65</v>
      </c>
      <c r="L10" s="18" t="s">
        <v>87</v>
      </c>
    </row>
    <row r="11" customFormat="false" ht="46.25" hidden="false" customHeight="false" outlineLevel="0" collapsed="false">
      <c r="A11" s="13" t="s">
        <v>88</v>
      </c>
      <c r="B11" s="14" t="s">
        <v>89</v>
      </c>
      <c r="C11" s="14" t="s">
        <v>90</v>
      </c>
      <c r="D11" s="15" t="n">
        <v>1</v>
      </c>
      <c r="E11" s="15" t="s">
        <v>73</v>
      </c>
      <c r="F11" s="16" t="n">
        <v>230</v>
      </c>
      <c r="G11" s="16" t="n">
        <v>230</v>
      </c>
      <c r="H11" s="17" t="n">
        <f aca="false">IF($J11="Y",$D11*$F11*INDEX(Assumptions!$B$4:$B$6,MATCH($E11,Assumptions!$A$4:$A$6,0)),0)</f>
        <v>0</v>
      </c>
      <c r="I11" s="17" t="n">
        <f aca="false">IF($J11="Y",$D11*$G11*INDEX(Assumptions!$B$4:$B$6,MATCH($E11,Assumptions!$A$4:$A$6,0)),0)</f>
        <v>0</v>
      </c>
      <c r="J11" s="15" t="s">
        <v>74</v>
      </c>
      <c r="K11" s="13" t="s">
        <v>65</v>
      </c>
      <c r="L11" s="18" t="s">
        <v>91</v>
      </c>
    </row>
    <row r="12" customFormat="false" ht="23.85" hidden="false" customHeight="false" outlineLevel="0" collapsed="false">
      <c r="A12" s="13" t="s">
        <v>92</v>
      </c>
      <c r="B12" s="14" t="s">
        <v>93</v>
      </c>
      <c r="C12" s="14" t="s">
        <v>94</v>
      </c>
      <c r="D12" s="15" t="n">
        <v>1</v>
      </c>
      <c r="E12" s="15" t="s">
        <v>73</v>
      </c>
      <c r="F12" s="16" t="n">
        <v>15</v>
      </c>
      <c r="G12" s="16" t="n">
        <v>40</v>
      </c>
      <c r="H12" s="17" t="n">
        <f aca="false">IF($J12="Y",$D12*$F12*INDEX(Assumptions!$B$4:$B$6,MATCH($E12,Assumptions!$A$4:$A$6,0)),0)</f>
        <v>27.75</v>
      </c>
      <c r="I12" s="17" t="n">
        <f aca="false">IF($J12="Y",$D12*$G12*INDEX(Assumptions!$B$4:$B$6,MATCH($E12,Assumptions!$A$4:$A$6,0)),0)</f>
        <v>74</v>
      </c>
      <c r="J12" s="15" t="s">
        <v>64</v>
      </c>
      <c r="K12" s="13" t="s">
        <v>95</v>
      </c>
      <c r="L12" s="14"/>
    </row>
    <row r="13" customFormat="false" ht="46.25" hidden="false" customHeight="false" outlineLevel="0" collapsed="false">
      <c r="A13" s="13" t="s">
        <v>96</v>
      </c>
      <c r="B13" s="14" t="s">
        <v>97</v>
      </c>
      <c r="C13" s="14" t="s">
        <v>98</v>
      </c>
      <c r="D13" s="15" t="n">
        <v>1</v>
      </c>
      <c r="E13" s="15" t="s">
        <v>63</v>
      </c>
      <c r="F13" s="16" t="n">
        <v>150</v>
      </c>
      <c r="G13" s="16" t="n">
        <v>300</v>
      </c>
      <c r="H13" s="17" t="n">
        <f aca="false">IF($J13="Y",$D13*$F13*INDEX(Assumptions!$B$4:$B$6,MATCH($E13,Assumptions!$A$4:$A$6,0)),0)</f>
        <v>213</v>
      </c>
      <c r="I13" s="17" t="n">
        <f aca="false">IF($J13="Y",$D13*$G13*INDEX(Assumptions!$B$4:$B$6,MATCH($E13,Assumptions!$A$4:$A$6,0)),0)</f>
        <v>426</v>
      </c>
      <c r="J13" s="15" t="s">
        <v>64</v>
      </c>
      <c r="K13" s="13" t="s">
        <v>95</v>
      </c>
      <c r="L13" s="18" t="s">
        <v>99</v>
      </c>
    </row>
    <row r="14" customFormat="false" ht="23.85" hidden="false" customHeight="false" outlineLevel="0" collapsed="false">
      <c r="A14" s="13" t="s">
        <v>100</v>
      </c>
      <c r="B14" s="14" t="s">
        <v>101</v>
      </c>
      <c r="C14" s="14" t="s">
        <v>102</v>
      </c>
      <c r="D14" s="15" t="n">
        <v>1</v>
      </c>
      <c r="E14" s="15" t="s">
        <v>63</v>
      </c>
      <c r="F14" s="16" t="n">
        <v>30</v>
      </c>
      <c r="G14" s="16" t="n">
        <v>90</v>
      </c>
      <c r="H14" s="17" t="n">
        <f aca="false">IF($J14="Y",$D14*$F14*INDEX(Assumptions!$B$4:$B$6,MATCH($E14,Assumptions!$A$4:$A$6,0)),0)</f>
        <v>42.6</v>
      </c>
      <c r="I14" s="17" t="n">
        <f aca="false">IF($J14="Y",$D14*$G14*INDEX(Assumptions!$B$4:$B$6,MATCH($E14,Assumptions!$A$4:$A$6,0)),0)</f>
        <v>127.8</v>
      </c>
      <c r="J14" s="15" t="s">
        <v>64</v>
      </c>
      <c r="K14" s="13" t="s">
        <v>95</v>
      </c>
      <c r="L14" s="18" t="s">
        <v>103</v>
      </c>
    </row>
    <row r="15" customFormat="false" ht="15" hidden="false" customHeight="false" outlineLevel="0" collapsed="false">
      <c r="A15" s="13" t="s">
        <v>104</v>
      </c>
      <c r="B15" s="14" t="s">
        <v>105</v>
      </c>
      <c r="C15" s="14" t="s">
        <v>106</v>
      </c>
      <c r="D15" s="15" t="n">
        <v>1</v>
      </c>
      <c r="E15" s="15" t="s">
        <v>63</v>
      </c>
      <c r="F15" s="16" t="n">
        <v>40</v>
      </c>
      <c r="G15" s="16" t="n">
        <v>80</v>
      </c>
      <c r="H15" s="17" t="n">
        <f aca="false">IF($J15="Y",$D15*$F15*INDEX(Assumptions!$B$4:$B$6,MATCH($E15,Assumptions!$A$4:$A$6,0)),0)</f>
        <v>56.8</v>
      </c>
      <c r="I15" s="17" t="n">
        <f aca="false">IF($J15="Y",$D15*$G15*INDEX(Assumptions!$B$4:$B$6,MATCH($E15,Assumptions!$A$4:$A$6,0)),0)</f>
        <v>113.6</v>
      </c>
      <c r="J15" s="15" t="s">
        <v>64</v>
      </c>
      <c r="K15" s="13" t="s">
        <v>95</v>
      </c>
      <c r="L15" s="14"/>
    </row>
    <row r="16" customFormat="false" ht="23.85" hidden="false" customHeight="false" outlineLevel="0" collapsed="false">
      <c r="A16" s="13" t="s">
        <v>107</v>
      </c>
      <c r="B16" s="14" t="s">
        <v>108</v>
      </c>
      <c r="C16" s="14" t="s">
        <v>109</v>
      </c>
      <c r="D16" s="15" t="n">
        <v>1</v>
      </c>
      <c r="E16" s="15" t="s">
        <v>63</v>
      </c>
      <c r="F16" s="16" t="n">
        <v>80</v>
      </c>
      <c r="G16" s="16" t="n">
        <v>460</v>
      </c>
      <c r="H16" s="17" t="n">
        <f aca="false">IF($J16="Y",$D16*$F16*INDEX(Assumptions!$B$4:$B$6,MATCH($E16,Assumptions!$A$4:$A$6,0)),0)</f>
        <v>113.6</v>
      </c>
      <c r="I16" s="17" t="n">
        <f aca="false">IF($J16="Y",$D16*$G16*INDEX(Assumptions!$B$4:$B$6,MATCH($E16,Assumptions!$A$4:$A$6,0)),0)</f>
        <v>653.2</v>
      </c>
      <c r="J16" s="15" t="s">
        <v>64</v>
      </c>
      <c r="K16" s="13" t="s">
        <v>95</v>
      </c>
      <c r="L16" s="18" t="s">
        <v>110</v>
      </c>
    </row>
    <row r="17" customFormat="false" ht="15" hidden="false" customHeight="false" outlineLevel="0" collapsed="false">
      <c r="A17" s="13" t="s">
        <v>111</v>
      </c>
      <c r="B17" s="14" t="s">
        <v>112</v>
      </c>
      <c r="C17" s="14" t="s">
        <v>113</v>
      </c>
      <c r="D17" s="15" t="n">
        <v>1</v>
      </c>
      <c r="E17" s="15" t="s">
        <v>63</v>
      </c>
      <c r="F17" s="16" t="n">
        <v>30</v>
      </c>
      <c r="G17" s="16" t="n">
        <v>60</v>
      </c>
      <c r="H17" s="17" t="n">
        <f aca="false">IF($J17="Y",$D17*$F17*INDEX(Assumptions!$B$4:$B$6,MATCH($E17,Assumptions!$A$4:$A$6,0)),0)</f>
        <v>42.6</v>
      </c>
      <c r="I17" s="17" t="n">
        <f aca="false">IF($J17="Y",$D17*$G17*INDEX(Assumptions!$B$4:$B$6,MATCH($E17,Assumptions!$A$4:$A$6,0)),0)</f>
        <v>85.2</v>
      </c>
      <c r="J17" s="15" t="s">
        <v>64</v>
      </c>
      <c r="K17" s="13" t="s">
        <v>95</v>
      </c>
      <c r="L17" s="14"/>
    </row>
    <row r="18" customFormat="false" ht="15" hidden="false" customHeight="false" outlineLevel="0" collapsed="false">
      <c r="A18" s="13" t="s">
        <v>114</v>
      </c>
      <c r="B18" s="14" t="s">
        <v>115</v>
      </c>
      <c r="C18" s="14" t="s">
        <v>116</v>
      </c>
      <c r="D18" s="15" t="n">
        <v>1</v>
      </c>
      <c r="E18" s="15" t="s">
        <v>63</v>
      </c>
      <c r="F18" s="16" t="n">
        <v>10</v>
      </c>
      <c r="G18" s="16" t="n">
        <v>25</v>
      </c>
      <c r="H18" s="17" t="n">
        <f aca="false">IF($J18="Y",$D18*$F18*INDEX(Assumptions!$B$4:$B$6,MATCH($E18,Assumptions!$A$4:$A$6,0)),0)</f>
        <v>14.2</v>
      </c>
      <c r="I18" s="17" t="n">
        <f aca="false">IF($J18="Y",$D18*$G18*INDEX(Assumptions!$B$4:$B$6,MATCH($E18,Assumptions!$A$4:$A$6,0)),0)</f>
        <v>35.5</v>
      </c>
      <c r="J18" s="15" t="s">
        <v>64</v>
      </c>
      <c r="K18" s="13" t="s">
        <v>95</v>
      </c>
      <c r="L18" s="14"/>
    </row>
    <row r="19" customFormat="false" ht="35.05" hidden="false" customHeight="false" outlineLevel="0" collapsed="false">
      <c r="A19" s="13" t="s">
        <v>117</v>
      </c>
      <c r="B19" s="14" t="s">
        <v>118</v>
      </c>
      <c r="C19" s="14" t="s">
        <v>119</v>
      </c>
      <c r="D19" s="15" t="n">
        <v>1</v>
      </c>
      <c r="E19" s="15" t="s">
        <v>63</v>
      </c>
      <c r="F19" s="16" t="n">
        <v>400</v>
      </c>
      <c r="G19" s="16" t="n">
        <v>726</v>
      </c>
      <c r="H19" s="17" t="n">
        <f aca="false">IF($J19="Y",$D19*$F19*INDEX(Assumptions!$B$4:$B$6,MATCH($E19,Assumptions!$A$4:$A$6,0)),0)</f>
        <v>568</v>
      </c>
      <c r="I19" s="17" t="n">
        <f aca="false">IF($J19="Y",$D19*$G19*INDEX(Assumptions!$B$4:$B$6,MATCH($E19,Assumptions!$A$4:$A$6,0)),0)</f>
        <v>1030.92</v>
      </c>
      <c r="J19" s="15" t="s">
        <v>64</v>
      </c>
      <c r="K19" s="13" t="s">
        <v>65</v>
      </c>
      <c r="L19" s="18" t="s">
        <v>120</v>
      </c>
    </row>
    <row r="20" customFormat="false" ht="23.85" hidden="false" customHeight="false" outlineLevel="0" collapsed="false">
      <c r="A20" s="13" t="s">
        <v>121</v>
      </c>
      <c r="B20" s="14" t="s">
        <v>122</v>
      </c>
      <c r="C20" s="14" t="s">
        <v>123</v>
      </c>
      <c r="D20" s="15" t="n">
        <v>1</v>
      </c>
      <c r="E20" s="15" t="s">
        <v>73</v>
      </c>
      <c r="F20" s="16" t="n">
        <v>60</v>
      </c>
      <c r="G20" s="16" t="n">
        <v>150</v>
      </c>
      <c r="H20" s="17" t="n">
        <f aca="false">IF($J20="Y",$D20*$F20*INDEX(Assumptions!$B$4:$B$6,MATCH($E20,Assumptions!$A$4:$A$6,0)),0)</f>
        <v>111</v>
      </c>
      <c r="I20" s="17" t="n">
        <f aca="false">IF($J20="Y",$D20*$G20*INDEX(Assumptions!$B$4:$B$6,MATCH($E20,Assumptions!$A$4:$A$6,0)),0)</f>
        <v>277.5</v>
      </c>
      <c r="J20" s="15" t="s">
        <v>64</v>
      </c>
      <c r="K20" s="13" t="s">
        <v>95</v>
      </c>
      <c r="L20" s="18" t="s">
        <v>124</v>
      </c>
    </row>
    <row r="21" customFormat="false" ht="23.85" hidden="false" customHeight="false" outlineLevel="0" collapsed="false">
      <c r="A21" s="13" t="s">
        <v>125</v>
      </c>
      <c r="B21" s="14" t="s">
        <v>126</v>
      </c>
      <c r="C21" s="14" t="s">
        <v>127</v>
      </c>
      <c r="D21" s="15" t="n">
        <v>1</v>
      </c>
      <c r="E21" s="15" t="s">
        <v>73</v>
      </c>
      <c r="F21" s="16" t="n">
        <v>40</v>
      </c>
      <c r="G21" s="16" t="n">
        <v>145</v>
      </c>
      <c r="H21" s="17" t="n">
        <f aca="false">IF($J21="Y",$D21*$F21*INDEX(Assumptions!$B$4:$B$6,MATCH($E21,Assumptions!$A$4:$A$6,0)),0)</f>
        <v>74</v>
      </c>
      <c r="I21" s="17" t="n">
        <f aca="false">IF($J21="Y",$D21*$G21*INDEX(Assumptions!$B$4:$B$6,MATCH($E21,Assumptions!$A$4:$A$6,0)),0)</f>
        <v>268.25</v>
      </c>
      <c r="J21" s="15" t="s">
        <v>64</v>
      </c>
      <c r="K21" s="13" t="s">
        <v>65</v>
      </c>
      <c r="L21" s="18" t="s">
        <v>128</v>
      </c>
    </row>
    <row r="22" customFormat="false" ht="15" hidden="false" customHeight="false" outlineLevel="0" collapsed="false">
      <c r="A22" s="13" t="s">
        <v>129</v>
      </c>
      <c r="B22" s="14" t="s">
        <v>130</v>
      </c>
      <c r="C22" s="14" t="s">
        <v>131</v>
      </c>
      <c r="D22" s="15" t="n">
        <v>1</v>
      </c>
      <c r="E22" s="15" t="s">
        <v>63</v>
      </c>
      <c r="F22" s="16" t="n">
        <v>40</v>
      </c>
      <c r="G22" s="16" t="n">
        <v>100</v>
      </c>
      <c r="H22" s="17" t="n">
        <f aca="false">IF($J22="Y",$D22*$F22*INDEX(Assumptions!$B$4:$B$6,MATCH($E22,Assumptions!$A$4:$A$6,0)),0)</f>
        <v>56.8</v>
      </c>
      <c r="I22" s="17" t="n">
        <f aca="false">IF($J22="Y",$D22*$G22*INDEX(Assumptions!$B$4:$B$6,MATCH($E22,Assumptions!$A$4:$A$6,0)),0)</f>
        <v>142</v>
      </c>
      <c r="J22" s="15" t="s">
        <v>64</v>
      </c>
      <c r="K22" s="13" t="s">
        <v>95</v>
      </c>
      <c r="L22" s="14"/>
    </row>
    <row r="23" customFormat="false" ht="35.05" hidden="false" customHeight="false" outlineLevel="0" collapsed="false">
      <c r="A23" s="13" t="s">
        <v>132</v>
      </c>
      <c r="B23" s="14" t="s">
        <v>133</v>
      </c>
      <c r="C23" s="14" t="s">
        <v>134</v>
      </c>
      <c r="D23" s="15" t="n">
        <v>1</v>
      </c>
      <c r="E23" s="15" t="s">
        <v>63</v>
      </c>
      <c r="F23" s="16" t="n">
        <v>10</v>
      </c>
      <c r="G23" s="16" t="n">
        <v>25</v>
      </c>
      <c r="H23" s="17" t="n">
        <f aca="false">IF($J23="Y",$D23*$F23*INDEX(Assumptions!$B$4:$B$6,MATCH($E23,Assumptions!$A$4:$A$6,0)),0)</f>
        <v>0</v>
      </c>
      <c r="I23" s="17" t="n">
        <f aca="false">IF($J23="Y",$D23*$G23*INDEX(Assumptions!$B$4:$B$6,MATCH($E23,Assumptions!$A$4:$A$6,0)),0)</f>
        <v>0</v>
      </c>
      <c r="J23" s="15" t="s">
        <v>74</v>
      </c>
      <c r="K23" s="13" t="s">
        <v>95</v>
      </c>
      <c r="L23" s="14"/>
    </row>
    <row r="24" customFormat="false" ht="15" hidden="false" customHeight="false" outlineLevel="0" collapsed="false">
      <c r="A24" s="13" t="s">
        <v>135</v>
      </c>
      <c r="B24" s="14" t="s">
        <v>136</v>
      </c>
      <c r="C24" s="14" t="s">
        <v>137</v>
      </c>
      <c r="D24" s="15" t="n">
        <v>1</v>
      </c>
      <c r="E24" s="15" t="s">
        <v>63</v>
      </c>
      <c r="F24" s="16" t="n">
        <v>25</v>
      </c>
      <c r="G24" s="16" t="n">
        <v>50</v>
      </c>
      <c r="H24" s="17" t="n">
        <f aca="false">IF($J24="Y",$D24*$F24*INDEX(Assumptions!$B$4:$B$6,MATCH($E24,Assumptions!$A$4:$A$6,0)),0)</f>
        <v>35.5</v>
      </c>
      <c r="I24" s="17" t="n">
        <f aca="false">IF($J24="Y",$D24*$G24*INDEX(Assumptions!$B$4:$B$6,MATCH($E24,Assumptions!$A$4:$A$6,0)),0)</f>
        <v>71</v>
      </c>
      <c r="J24" s="15" t="s">
        <v>64</v>
      </c>
      <c r="K24" s="13" t="s">
        <v>95</v>
      </c>
      <c r="L24" s="14"/>
    </row>
    <row r="25" customFormat="false" ht="46.25" hidden="false" customHeight="false" outlineLevel="0" collapsed="false">
      <c r="A25" s="13" t="s">
        <v>138</v>
      </c>
      <c r="B25" s="14" t="s">
        <v>139</v>
      </c>
      <c r="C25" s="14" t="s">
        <v>140</v>
      </c>
      <c r="D25" s="15" t="n">
        <v>8</v>
      </c>
      <c r="E25" s="15" t="s">
        <v>141</v>
      </c>
      <c r="F25" s="16" t="n">
        <v>35</v>
      </c>
      <c r="G25" s="16" t="n">
        <v>90</v>
      </c>
      <c r="H25" s="17" t="n">
        <f aca="false">IF($J25="Y",$D25*$F25*INDEX(Assumptions!$B$4:$B$6,MATCH($E25,Assumptions!$A$4:$A$6,0)),0)</f>
        <v>0</v>
      </c>
      <c r="I25" s="17" t="n">
        <f aca="false">IF($J25="Y",$D25*$G25*INDEX(Assumptions!$B$4:$B$6,MATCH($E25,Assumptions!$A$4:$A$6,0)),0)</f>
        <v>0</v>
      </c>
      <c r="J25" s="15" t="s">
        <v>74</v>
      </c>
      <c r="K25" s="13" t="s">
        <v>95</v>
      </c>
      <c r="L25" s="14"/>
    </row>
    <row r="26" customFormat="false" ht="15" hidden="false" customHeight="false" outlineLevel="0" collapsed="false">
      <c r="A26" s="13" t="s">
        <v>142</v>
      </c>
      <c r="B26" s="14" t="s">
        <v>143</v>
      </c>
      <c r="C26" s="14" t="s">
        <v>144</v>
      </c>
      <c r="D26" s="15" t="n">
        <v>1</v>
      </c>
      <c r="E26" s="15" t="s">
        <v>141</v>
      </c>
      <c r="F26" s="16" t="n">
        <v>0</v>
      </c>
      <c r="G26" s="16" t="n">
        <v>10</v>
      </c>
      <c r="H26" s="17" t="n">
        <f aca="false">IF($J26="Y",$D26*$F26*INDEX(Assumptions!$B$4:$B$6,MATCH($E26,Assumptions!$A$4:$A$6,0)),0)</f>
        <v>0</v>
      </c>
      <c r="I26" s="17" t="n">
        <f aca="false">IF($J26="Y",$D26*$G26*INDEX(Assumptions!$B$4:$B$6,MATCH($E26,Assumptions!$A$4:$A$6,0)),0)</f>
        <v>10</v>
      </c>
      <c r="J26" s="15" t="s">
        <v>64</v>
      </c>
      <c r="K26" s="13" t="s">
        <v>95</v>
      </c>
      <c r="L26" s="14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19" t="s">
        <v>145</v>
      </c>
      <c r="H27" s="20" t="n">
        <f aca="false">SUM(H5:H26)</f>
        <v>2190.85</v>
      </c>
      <c r="I27" s="20" t="n">
        <f aca="false">SUM(I5:I26)</f>
        <v>5243.37</v>
      </c>
      <c r="J27" s="2"/>
      <c r="K27" s="2"/>
      <c r="L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19" t="s">
        <v>146</v>
      </c>
      <c r="H28" s="20" t="n">
        <f aca="false">H27*Assumptions!$B$8</f>
        <v>284.8105</v>
      </c>
      <c r="I28" s="20" t="n">
        <f aca="false">I27*Assumptions!$B$8</f>
        <v>681.6381</v>
      </c>
      <c r="J28" s="2"/>
      <c r="K28" s="2"/>
      <c r="L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1" t="s">
        <v>147</v>
      </c>
      <c r="H29" s="22" t="n">
        <f aca="false">H27+H28</f>
        <v>2475.6605</v>
      </c>
      <c r="I29" s="22" t="n">
        <f aca="false">I27+I28</f>
        <v>5925.0081</v>
      </c>
      <c r="J29" s="2"/>
      <c r="K29" s="2"/>
      <c r="L29" s="2"/>
    </row>
  </sheetData>
  <conditionalFormatting sqref="A5:K26">
    <cfRule type="expression" priority="2" aboveAverage="0" equalAverage="0" bottom="0" percent="0" rank="0" text="" dxfId="0">
      <formula>$J5="N"</formula>
    </cfRule>
  </conditionalFormatting>
  <dataValidations count="2">
    <dataValidation allowBlank="false" errorStyle="stop" operator="between" showDropDown="false" showErrorMessage="false" showInputMessage="false" sqref="J5:J26" type="list">
      <formula1>"Y,N"</formula1>
      <formula2>0</formula2>
    </dataValidation>
    <dataValidation allowBlank="false" errorStyle="stop" operator="between" showDropDown="false" showErrorMessage="false" showInputMessage="false" sqref="E5:E26" type="list">
      <formula1>"CAD,USD,GBP"</formula1>
      <formula2>0</formula2>
    </dataValidation>
  </dataValidations>
  <hyperlinks>
    <hyperlink ref="L5" r:id="rId1" display="https://www.ebay.com/b/Complete-Manual-Transmissions-for-Mazda-RX-8/171117/bn_1435951"/>
    <hyperlink ref="L6" r:id="rId2" display="https://www.ebay.com/b/Complete-Manual-Transmissions-for-Mazda-RX-8/171117/bn_1435951"/>
    <hyperlink ref="L7" r:id="rId3" display="https://www.rx8gearboxadapters.com/product-page/vw-pd-1-8t-20v-vertically-mounted"/>
    <hyperlink ref="L8" r:id="rId4" display="https://www.rx8gearboxadapters.com/product-page/copy-of-vw-pd-1-8t-20v-mounted-20degrees"/>
    <hyperlink ref="L9" r:id="rId5" display="https://www.rx8gearboxadapters.com/product-page/vw-pd-1-8t-bolt-kit-rx8027"/>
    <hyperlink ref="L10" r:id="rId6" display="https://www.rx8gearboxadapters.com/product-page/rx8-spigot-bearing-rx8017"/>
    <hyperlink ref="L11" r:id="rId7" display="https://www.rx8gearboxadapters.com/product-page/rx8-6-speed-concentric-slave-cylinder-set-up"/>
    <hyperlink ref="L13" r:id="rId8" display="https://www.ebay.com/itm/365068559418"/>
    <hyperlink ref="L14" r:id="rId9" display="https://americanpowertrain.com/general-bellhousing-alignment-instructions/"/>
    <hyperlink ref="L16" r:id="rId10" display="https://www.speedwaymotors.com/Tilton-60-6100-Flat-Face-Hydraulic-Release-Bearing-Universal,413901.html"/>
    <hyperlink ref="L19" r:id="rId11" display="https://www.ecstuning.com/b-ecs-parts/ra4-single-mass-flywheel-kit/ecs212321b5kt/"/>
    <hyperlink ref="L20" r:id="rId12" display="https://qedmotorsport.co.uk/product/clutch-plate-228mm-1-x-23-spline-ford-box-heavy-duty-organic-helix/"/>
    <hyperlink ref="L21" r:id="rId13" display="https://www.ebay.co.uk/p/1509332173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70"/>
    <col collapsed="false" customWidth="true" hidden="false" outlineLevel="0" max="4" min="4" style="0" width="5"/>
    <col collapsed="false" customWidth="true" hidden="false" outlineLevel="0" max="5" min="5" style="0" width="6"/>
    <col collapsed="false" customWidth="true" hidden="false" outlineLevel="0" max="7" min="6" style="0" width="10"/>
    <col collapsed="false" customWidth="true" hidden="false" outlineLevel="0" max="9" min="8" style="0" width="12"/>
    <col collapsed="false" customWidth="true" hidden="false" outlineLevel="0" max="10" min="10" style="0" width="8"/>
    <col collapsed="false" customWidth="true" hidden="false" outlineLevel="0" max="11" min="11" style="0" width="9"/>
    <col collapsed="false" customWidth="true" hidden="false" outlineLevel="0" max="12" min="12" style="0" width="40"/>
  </cols>
  <sheetData>
    <row r="1" customFormat="false" ht="17.35" hidden="false" customHeight="false" outlineLevel="0" collapsed="false">
      <c r="A1" s="1" t="s">
        <v>148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A2" s="3" t="s">
        <v>47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30" hidden="false" customHeight="true" outlineLevel="0" collapsed="false">
      <c r="A4" s="12" t="s">
        <v>48</v>
      </c>
      <c r="B4" s="12" t="s">
        <v>49</v>
      </c>
      <c r="C4" s="12" t="s">
        <v>50</v>
      </c>
      <c r="D4" s="12" t="s">
        <v>51</v>
      </c>
      <c r="E4" s="12" t="s">
        <v>52</v>
      </c>
      <c r="F4" s="12" t="s">
        <v>53</v>
      </c>
      <c r="G4" s="12" t="s">
        <v>54</v>
      </c>
      <c r="H4" s="12" t="s">
        <v>55</v>
      </c>
      <c r="I4" s="12" t="s">
        <v>56</v>
      </c>
      <c r="J4" s="12" t="s">
        <v>57</v>
      </c>
      <c r="K4" s="12" t="s">
        <v>58</v>
      </c>
      <c r="L4" s="12" t="s">
        <v>59</v>
      </c>
    </row>
    <row r="5" customFormat="false" ht="46.25" hidden="false" customHeight="false" outlineLevel="0" collapsed="false">
      <c r="A5" s="13" t="s">
        <v>149</v>
      </c>
      <c r="B5" s="14" t="s">
        <v>150</v>
      </c>
      <c r="C5" s="14" t="s">
        <v>151</v>
      </c>
      <c r="D5" s="15" t="n">
        <v>1</v>
      </c>
      <c r="E5" s="15" t="s">
        <v>63</v>
      </c>
      <c r="F5" s="16" t="n">
        <v>1250</v>
      </c>
      <c r="G5" s="16" t="n">
        <v>1280</v>
      </c>
      <c r="H5" s="17" t="n">
        <f aca="false">IF($J5="Y",$D5*$F5*INDEX(Assumptions!$B$4:$B$6,MATCH($E5,Assumptions!$A$4:$A$6,0)),0)</f>
        <v>1775</v>
      </c>
      <c r="I5" s="17" t="n">
        <f aca="false">IF($J5="Y",$D5*$G5*INDEX(Assumptions!$B$4:$B$6,MATCH($E5,Assumptions!$A$4:$A$6,0)),0)</f>
        <v>1817.6</v>
      </c>
      <c r="J5" s="15" t="s">
        <v>64</v>
      </c>
      <c r="K5" s="13" t="s">
        <v>65</v>
      </c>
      <c r="L5" s="18" t="s">
        <v>152</v>
      </c>
    </row>
    <row r="6" customFormat="false" ht="15" hidden="false" customHeight="false" outlineLevel="0" collapsed="false">
      <c r="A6" s="13" t="s">
        <v>153</v>
      </c>
      <c r="B6" s="14" t="s">
        <v>154</v>
      </c>
      <c r="C6" s="14" t="s">
        <v>155</v>
      </c>
      <c r="D6" s="15" t="n">
        <v>1</v>
      </c>
      <c r="E6" s="15" t="s">
        <v>63</v>
      </c>
      <c r="F6" s="16" t="n">
        <v>50</v>
      </c>
      <c r="G6" s="16" t="n">
        <v>200</v>
      </c>
      <c r="H6" s="17" t="n">
        <f aca="false">IF($J6="Y",$D6*$F6*INDEX(Assumptions!$B$4:$B$6,MATCH($E6,Assumptions!$A$4:$A$6,0)),0)</f>
        <v>71</v>
      </c>
      <c r="I6" s="17" t="n">
        <f aca="false">IF($J6="Y",$D6*$G6*INDEX(Assumptions!$B$4:$B$6,MATCH($E6,Assumptions!$A$4:$A$6,0)),0)</f>
        <v>284</v>
      </c>
      <c r="J6" s="15" t="s">
        <v>64</v>
      </c>
      <c r="K6" s="13" t="s">
        <v>95</v>
      </c>
      <c r="L6" s="18" t="s">
        <v>156</v>
      </c>
    </row>
    <row r="7" customFormat="false" ht="23.85" hidden="false" customHeight="false" outlineLevel="0" collapsed="false">
      <c r="A7" s="13" t="s">
        <v>157</v>
      </c>
      <c r="B7" s="14" t="s">
        <v>158</v>
      </c>
      <c r="C7" s="14" t="s">
        <v>159</v>
      </c>
      <c r="D7" s="15" t="n">
        <v>1</v>
      </c>
      <c r="E7" s="15" t="s">
        <v>63</v>
      </c>
      <c r="F7" s="16" t="n">
        <v>600</v>
      </c>
      <c r="G7" s="16" t="n">
        <v>1360</v>
      </c>
      <c r="H7" s="17" t="n">
        <f aca="false">IF($J7="Y",$D7*$F7*INDEX(Assumptions!$B$4:$B$6,MATCH($E7,Assumptions!$A$4:$A$6,0)),0)</f>
        <v>852</v>
      </c>
      <c r="I7" s="17" t="n">
        <f aca="false">IF($J7="Y",$D7*$G7*INDEX(Assumptions!$B$4:$B$6,MATCH($E7,Assumptions!$A$4:$A$6,0)),0)</f>
        <v>1931.2</v>
      </c>
      <c r="J7" s="15" t="s">
        <v>64</v>
      </c>
      <c r="K7" s="13" t="s">
        <v>65</v>
      </c>
      <c r="L7" s="18" t="s">
        <v>160</v>
      </c>
    </row>
    <row r="8" customFormat="false" ht="15" hidden="false" customHeight="false" outlineLevel="0" collapsed="false">
      <c r="A8" s="13" t="s">
        <v>161</v>
      </c>
      <c r="B8" s="14" t="s">
        <v>68</v>
      </c>
      <c r="C8" s="14"/>
      <c r="D8" s="15" t="n">
        <v>1</v>
      </c>
      <c r="E8" s="15" t="s">
        <v>63</v>
      </c>
      <c r="F8" s="16" t="n">
        <v>230</v>
      </c>
      <c r="G8" s="16" t="n">
        <v>400</v>
      </c>
      <c r="H8" s="17" t="n">
        <f aca="false">IF($J8="Y",$D8*$F8*INDEX(Assumptions!$B$4:$B$6,MATCH($E8,Assumptions!$A$4:$A$6,0)),0)</f>
        <v>326.6</v>
      </c>
      <c r="I8" s="17" t="n">
        <f aca="false">IF($J8="Y",$D8*$G8*INDEX(Assumptions!$B$4:$B$6,MATCH($E8,Assumptions!$A$4:$A$6,0)),0)</f>
        <v>568</v>
      </c>
      <c r="J8" s="15" t="s">
        <v>64</v>
      </c>
      <c r="K8" s="13" t="s">
        <v>65</v>
      </c>
      <c r="L8" s="18" t="s">
        <v>160</v>
      </c>
    </row>
    <row r="9" customFormat="false" ht="23.85" hidden="false" customHeight="false" outlineLevel="0" collapsed="false">
      <c r="A9" s="13" t="s">
        <v>162</v>
      </c>
      <c r="B9" s="14" t="s">
        <v>163</v>
      </c>
      <c r="C9" s="14" t="s">
        <v>164</v>
      </c>
      <c r="D9" s="15" t="n">
        <v>1</v>
      </c>
      <c r="E9" s="15" t="s">
        <v>63</v>
      </c>
      <c r="F9" s="16" t="n">
        <v>0</v>
      </c>
      <c r="G9" s="16" t="n">
        <v>0</v>
      </c>
      <c r="H9" s="17" t="n">
        <f aca="false">IF($J9="Y",$D9*$F9*INDEX(Assumptions!$B$4:$B$6,MATCH($E9,Assumptions!$A$4:$A$6,0)),0)</f>
        <v>0</v>
      </c>
      <c r="I9" s="17" t="n">
        <f aca="false">IF($J9="Y",$D9*$G9*INDEX(Assumptions!$B$4:$B$6,MATCH($E9,Assumptions!$A$4:$A$6,0)),0)</f>
        <v>0</v>
      </c>
      <c r="J9" s="15" t="s">
        <v>64</v>
      </c>
      <c r="K9" s="13" t="s">
        <v>65</v>
      </c>
      <c r="L9" s="18" t="s">
        <v>165</v>
      </c>
    </row>
    <row r="10" customFormat="false" ht="35.05" hidden="false" customHeight="false" outlineLevel="0" collapsed="false">
      <c r="A10" s="13" t="s">
        <v>166</v>
      </c>
      <c r="B10" s="14" t="s">
        <v>167</v>
      </c>
      <c r="C10" s="14" t="s">
        <v>168</v>
      </c>
      <c r="D10" s="15" t="n">
        <v>1</v>
      </c>
      <c r="E10" s="15" t="s">
        <v>63</v>
      </c>
      <c r="F10" s="16" t="n">
        <v>2365</v>
      </c>
      <c r="G10" s="16" t="n">
        <v>2500</v>
      </c>
      <c r="H10" s="17" t="n">
        <f aca="false">IF($J10="Y",$D10*$F10*INDEX(Assumptions!$B$4:$B$6,MATCH($E10,Assumptions!$A$4:$A$6,0)),0)</f>
        <v>3358.3</v>
      </c>
      <c r="I10" s="17" t="n">
        <f aca="false">IF($J10="Y",$D10*$G10*INDEX(Assumptions!$B$4:$B$6,MATCH($E10,Assumptions!$A$4:$A$6,0)),0)</f>
        <v>3550</v>
      </c>
      <c r="J10" s="15" t="s">
        <v>64</v>
      </c>
      <c r="K10" s="13" t="s">
        <v>65</v>
      </c>
      <c r="L10" s="18" t="s">
        <v>169</v>
      </c>
    </row>
    <row r="11" customFormat="false" ht="23.85" hidden="false" customHeight="false" outlineLevel="0" collapsed="false">
      <c r="A11" s="13" t="s">
        <v>170</v>
      </c>
      <c r="B11" s="14" t="s">
        <v>171</v>
      </c>
      <c r="C11" s="14" t="s">
        <v>172</v>
      </c>
      <c r="D11" s="15" t="n">
        <v>1</v>
      </c>
      <c r="E11" s="15" t="s">
        <v>63</v>
      </c>
      <c r="F11" s="16" t="n">
        <v>1390</v>
      </c>
      <c r="G11" s="16" t="n">
        <v>1390</v>
      </c>
      <c r="H11" s="17" t="n">
        <f aca="false">IF($J11="Y",$D11*$F11*INDEX(Assumptions!$B$4:$B$6,MATCH($E11,Assumptions!$A$4:$A$6,0)),0)</f>
        <v>0</v>
      </c>
      <c r="I11" s="17" t="n">
        <f aca="false">IF($J11="Y",$D11*$G11*INDEX(Assumptions!$B$4:$B$6,MATCH($E11,Assumptions!$A$4:$A$6,0)),0)</f>
        <v>0</v>
      </c>
      <c r="J11" s="15" t="s">
        <v>74</v>
      </c>
      <c r="K11" s="13" t="s">
        <v>65</v>
      </c>
      <c r="L11" s="18" t="s">
        <v>173</v>
      </c>
    </row>
    <row r="12" customFormat="false" ht="15" hidden="false" customHeight="false" outlineLevel="0" collapsed="false">
      <c r="A12" s="13" t="s">
        <v>174</v>
      </c>
      <c r="B12" s="14" t="s">
        <v>175</v>
      </c>
      <c r="C12" s="14" t="s">
        <v>176</v>
      </c>
      <c r="D12" s="15" t="n">
        <v>1</v>
      </c>
      <c r="E12" s="15" t="s">
        <v>63</v>
      </c>
      <c r="F12" s="16" t="n">
        <v>590</v>
      </c>
      <c r="G12" s="16" t="n">
        <v>590</v>
      </c>
      <c r="H12" s="17" t="n">
        <f aca="false">IF($J12="Y",$D12*$F12*INDEX(Assumptions!$B$4:$B$6,MATCH($E12,Assumptions!$A$4:$A$6,0)),0)</f>
        <v>0</v>
      </c>
      <c r="I12" s="17" t="n">
        <f aca="false">IF($J12="Y",$D12*$G12*INDEX(Assumptions!$B$4:$B$6,MATCH($E12,Assumptions!$A$4:$A$6,0)),0)</f>
        <v>0</v>
      </c>
      <c r="J12" s="15" t="s">
        <v>74</v>
      </c>
      <c r="K12" s="13" t="s">
        <v>65</v>
      </c>
      <c r="L12" s="18" t="s">
        <v>177</v>
      </c>
    </row>
    <row r="13" customFormat="false" ht="15" hidden="false" customHeight="false" outlineLevel="0" collapsed="false">
      <c r="A13" s="13" t="s">
        <v>178</v>
      </c>
      <c r="B13" s="14" t="s">
        <v>179</v>
      </c>
      <c r="C13" s="14" t="s">
        <v>180</v>
      </c>
      <c r="D13" s="15" t="n">
        <v>1</v>
      </c>
      <c r="E13" s="15" t="s">
        <v>63</v>
      </c>
      <c r="F13" s="16" t="n">
        <v>30</v>
      </c>
      <c r="G13" s="16" t="n">
        <v>135</v>
      </c>
      <c r="H13" s="17" t="n">
        <f aca="false">IF($J13="Y",$D13*$F13*INDEX(Assumptions!$B$4:$B$6,MATCH($E13,Assumptions!$A$4:$A$6,0)),0)</f>
        <v>42.6</v>
      </c>
      <c r="I13" s="17" t="n">
        <f aca="false">IF($J13="Y",$D13*$G13*INDEX(Assumptions!$B$4:$B$6,MATCH($E13,Assumptions!$A$4:$A$6,0)),0)</f>
        <v>191.7</v>
      </c>
      <c r="J13" s="15" t="s">
        <v>64</v>
      </c>
      <c r="K13" s="13" t="s">
        <v>65</v>
      </c>
      <c r="L13" s="18" t="s">
        <v>181</v>
      </c>
    </row>
    <row r="14" customFormat="false" ht="15" hidden="false" customHeight="false" outlineLevel="0" collapsed="false">
      <c r="A14" s="13" t="s">
        <v>182</v>
      </c>
      <c r="B14" s="14" t="s">
        <v>183</v>
      </c>
      <c r="C14" s="14" t="s">
        <v>184</v>
      </c>
      <c r="D14" s="15" t="n">
        <v>1</v>
      </c>
      <c r="E14" s="15" t="s">
        <v>63</v>
      </c>
      <c r="F14" s="16" t="n">
        <v>50</v>
      </c>
      <c r="G14" s="16" t="n">
        <v>200</v>
      </c>
      <c r="H14" s="17" t="n">
        <f aca="false">IF($J14="Y",$D14*$F14*INDEX(Assumptions!$B$4:$B$6,MATCH($E14,Assumptions!$A$4:$A$6,0)),0)</f>
        <v>0</v>
      </c>
      <c r="I14" s="17" t="n">
        <f aca="false">IF($J14="Y",$D14*$G14*INDEX(Assumptions!$B$4:$B$6,MATCH($E14,Assumptions!$A$4:$A$6,0)),0)</f>
        <v>0</v>
      </c>
      <c r="J14" s="15" t="s">
        <v>74</v>
      </c>
      <c r="K14" s="13" t="s">
        <v>95</v>
      </c>
      <c r="L14" s="14"/>
    </row>
    <row r="15" customFormat="false" ht="15" hidden="false" customHeight="false" outlineLevel="0" collapsed="false">
      <c r="A15" s="13" t="s">
        <v>185</v>
      </c>
      <c r="B15" s="14" t="s">
        <v>186</v>
      </c>
      <c r="C15" s="14" t="s">
        <v>187</v>
      </c>
      <c r="D15" s="15" t="n">
        <v>1</v>
      </c>
      <c r="E15" s="15" t="s">
        <v>63</v>
      </c>
      <c r="F15" s="16" t="n">
        <v>111</v>
      </c>
      <c r="G15" s="16" t="n">
        <v>111</v>
      </c>
      <c r="H15" s="17" t="n">
        <f aca="false">IF($J15="Y",$D15*$F15*INDEX(Assumptions!$B$4:$B$6,MATCH($E15,Assumptions!$A$4:$A$6,0)),0)</f>
        <v>157.62</v>
      </c>
      <c r="I15" s="17" t="n">
        <f aca="false">IF($J15="Y",$D15*$G15*INDEX(Assumptions!$B$4:$B$6,MATCH($E15,Assumptions!$A$4:$A$6,0)),0)</f>
        <v>157.62</v>
      </c>
      <c r="J15" s="15" t="s">
        <v>64</v>
      </c>
      <c r="K15" s="13" t="s">
        <v>65</v>
      </c>
      <c r="L15" s="18" t="s">
        <v>188</v>
      </c>
    </row>
    <row r="16" customFormat="false" ht="15" hidden="false" customHeight="false" outlineLevel="0" collapsed="false">
      <c r="A16" s="13" t="s">
        <v>189</v>
      </c>
      <c r="B16" s="14" t="s">
        <v>190</v>
      </c>
      <c r="C16" s="14"/>
      <c r="D16" s="15" t="n">
        <v>1</v>
      </c>
      <c r="E16" s="15" t="s">
        <v>63</v>
      </c>
      <c r="F16" s="16" t="n">
        <v>180</v>
      </c>
      <c r="G16" s="16" t="n">
        <v>450</v>
      </c>
      <c r="H16" s="17" t="n">
        <f aca="false">IF($J16="Y",$D16*$F16*INDEX(Assumptions!$B$4:$B$6,MATCH($E16,Assumptions!$A$4:$A$6,0)),0)</f>
        <v>255.6</v>
      </c>
      <c r="I16" s="17" t="n">
        <f aca="false">IF($J16="Y",$D16*$G16*INDEX(Assumptions!$B$4:$B$6,MATCH($E16,Assumptions!$A$4:$A$6,0)),0)</f>
        <v>639</v>
      </c>
      <c r="J16" s="15" t="s">
        <v>64</v>
      </c>
      <c r="K16" s="13" t="s">
        <v>95</v>
      </c>
      <c r="L16" s="14"/>
    </row>
    <row r="17" customFormat="false" ht="15" hidden="false" customHeight="false" outlineLevel="0" collapsed="false">
      <c r="A17" s="13" t="s">
        <v>191</v>
      </c>
      <c r="B17" s="14" t="s">
        <v>192</v>
      </c>
      <c r="C17" s="14" t="s">
        <v>193</v>
      </c>
      <c r="D17" s="15" t="n">
        <v>1</v>
      </c>
      <c r="E17" s="15" t="s">
        <v>63</v>
      </c>
      <c r="F17" s="16" t="n">
        <v>180</v>
      </c>
      <c r="G17" s="16" t="n">
        <v>225</v>
      </c>
      <c r="H17" s="17" t="n">
        <f aca="false">IF($J17="Y",$D17*$F17*INDEX(Assumptions!$B$4:$B$6,MATCH($E17,Assumptions!$A$4:$A$6,0)),0)</f>
        <v>255.6</v>
      </c>
      <c r="I17" s="17" t="n">
        <f aca="false">IF($J17="Y",$D17*$G17*INDEX(Assumptions!$B$4:$B$6,MATCH($E17,Assumptions!$A$4:$A$6,0)),0)</f>
        <v>319.5</v>
      </c>
      <c r="J17" s="15" t="s">
        <v>64</v>
      </c>
      <c r="K17" s="13" t="s">
        <v>65</v>
      </c>
      <c r="L17" s="18" t="s">
        <v>194</v>
      </c>
    </row>
    <row r="18" customFormat="false" ht="15" hidden="false" customHeight="false" outlineLevel="0" collapsed="false">
      <c r="A18" s="13" t="s">
        <v>195</v>
      </c>
      <c r="B18" s="14" t="s">
        <v>196</v>
      </c>
      <c r="C18" s="14" t="s">
        <v>197</v>
      </c>
      <c r="D18" s="15" t="n">
        <v>1</v>
      </c>
      <c r="E18" s="15" t="s">
        <v>63</v>
      </c>
      <c r="F18" s="16" t="n">
        <v>200</v>
      </c>
      <c r="G18" s="16" t="n">
        <v>200</v>
      </c>
      <c r="H18" s="17" t="n">
        <f aca="false">IF($J18="Y",$D18*$F18*INDEX(Assumptions!$B$4:$B$6,MATCH($E18,Assumptions!$A$4:$A$6,0)),0)</f>
        <v>284</v>
      </c>
      <c r="I18" s="17" t="n">
        <f aca="false">IF($J18="Y",$D18*$G18*INDEX(Assumptions!$B$4:$B$6,MATCH($E18,Assumptions!$A$4:$A$6,0)),0)</f>
        <v>284</v>
      </c>
      <c r="J18" s="15" t="s">
        <v>64</v>
      </c>
      <c r="K18" s="13" t="s">
        <v>65</v>
      </c>
      <c r="L18" s="18" t="s">
        <v>198</v>
      </c>
    </row>
    <row r="19" customFormat="false" ht="23.85" hidden="false" customHeight="false" outlineLevel="0" collapsed="false">
      <c r="A19" s="13" t="s">
        <v>199</v>
      </c>
      <c r="B19" s="14" t="s">
        <v>200</v>
      </c>
      <c r="C19" s="14" t="s">
        <v>201</v>
      </c>
      <c r="D19" s="15" t="n">
        <v>1</v>
      </c>
      <c r="E19" s="15" t="s">
        <v>63</v>
      </c>
      <c r="F19" s="16" t="n">
        <v>100</v>
      </c>
      <c r="G19" s="16" t="n">
        <v>400</v>
      </c>
      <c r="H19" s="17" t="n">
        <f aca="false">IF($J19="Y",$D19*$F19*INDEX(Assumptions!$B$4:$B$6,MATCH($E19,Assumptions!$A$4:$A$6,0)),0)</f>
        <v>142</v>
      </c>
      <c r="I19" s="17" t="n">
        <f aca="false">IF($J19="Y",$D19*$G19*INDEX(Assumptions!$B$4:$B$6,MATCH($E19,Assumptions!$A$4:$A$6,0)),0)</f>
        <v>568</v>
      </c>
      <c r="J19" s="15" t="s">
        <v>64</v>
      </c>
      <c r="K19" s="13" t="s">
        <v>95</v>
      </c>
      <c r="L19" s="14"/>
    </row>
    <row r="20" customFormat="false" ht="15" hidden="false" customHeight="false" outlineLevel="0" collapsed="false">
      <c r="A20" s="13" t="s">
        <v>202</v>
      </c>
      <c r="B20" s="14" t="s">
        <v>203</v>
      </c>
      <c r="C20" s="14" t="s">
        <v>204</v>
      </c>
      <c r="D20" s="15" t="n">
        <v>1</v>
      </c>
      <c r="E20" s="15" t="s">
        <v>63</v>
      </c>
      <c r="F20" s="16" t="n">
        <v>1850</v>
      </c>
      <c r="G20" s="16" t="n">
        <v>1942</v>
      </c>
      <c r="H20" s="17" t="n">
        <f aca="false">IF($J20="Y",$D20*$F20*INDEX(Assumptions!$B$4:$B$6,MATCH($E20,Assumptions!$A$4:$A$6,0)),0)</f>
        <v>0</v>
      </c>
      <c r="I20" s="17" t="n">
        <f aca="false">IF($J20="Y",$D20*$G20*INDEX(Assumptions!$B$4:$B$6,MATCH($E20,Assumptions!$A$4:$A$6,0)),0)</f>
        <v>0</v>
      </c>
      <c r="J20" s="15" t="s">
        <v>74</v>
      </c>
      <c r="K20" s="13" t="s">
        <v>65</v>
      </c>
      <c r="L20" s="18" t="s">
        <v>205</v>
      </c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19" t="s">
        <v>145</v>
      </c>
      <c r="H21" s="20" t="n">
        <f aca="false">SUM(H5:H20)</f>
        <v>7520.32</v>
      </c>
      <c r="I21" s="20" t="n">
        <f aca="false">SUM(I5:I20)</f>
        <v>10310.62</v>
      </c>
      <c r="J21" s="2"/>
      <c r="K21" s="2"/>
      <c r="L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19" t="s">
        <v>146</v>
      </c>
      <c r="H22" s="20" t="n">
        <f aca="false">H21*Assumptions!$B$8</f>
        <v>977.6416</v>
      </c>
      <c r="I22" s="20" t="n">
        <f aca="false">I21*Assumptions!$B$8</f>
        <v>1340.3806</v>
      </c>
      <c r="J22" s="2"/>
      <c r="K22" s="2"/>
      <c r="L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1" t="s">
        <v>147</v>
      </c>
      <c r="H23" s="22" t="n">
        <f aca="false">H21+H22</f>
        <v>8497.9616</v>
      </c>
      <c r="I23" s="22" t="n">
        <f aca="false">I21+I22</f>
        <v>11651.0006</v>
      </c>
      <c r="J23" s="2"/>
      <c r="K23" s="2"/>
      <c r="L23" s="2"/>
    </row>
  </sheetData>
  <conditionalFormatting sqref="A5:K20">
    <cfRule type="expression" priority="2" aboveAverage="0" equalAverage="0" bottom="0" percent="0" rank="0" text="" dxfId="0">
      <formula>$J5="N"</formula>
    </cfRule>
  </conditionalFormatting>
  <dataValidations count="2">
    <dataValidation allowBlank="false" errorStyle="stop" operator="between" showDropDown="false" showErrorMessage="false" showInputMessage="false" sqref="J5:J20" type="list">
      <formula1>"Y,N"</formula1>
      <formula2>0</formula2>
    </dataValidation>
    <dataValidation allowBlank="false" errorStyle="stop" operator="between" showDropDown="false" showErrorMessage="false" showInputMessage="false" sqref="E5:E20" type="list">
      <formula1>"CAD,USD,GBP"</formula1>
      <formula2>0</formula2>
    </dataValidation>
  </dataValidations>
  <hyperlinks>
    <hyperlink ref="L5" r:id="rId1" display="https://www.domi-works.com/products/vw-1-8t-1-8t-to-bmw-8hp-45-50-70-75-n47-n57-b57-b58-s58-adapter-kit"/>
    <hyperlink ref="L6" r:id="rId2" display="https://www.8hptheworld.com/shop/domiworks-21015002-domiworks-vw-1-8t-1-9t-8hp-n47-n57-b57-b58-s58-adapter-kit-79377"/>
    <hyperlink ref="L7" r:id="rId3" display="https://www.ebay.com/shop/8hp50-transmission?_nkw=8hp50+transmission"/>
    <hyperlink ref="L8" r:id="rId4" display="https://www.ebay.com/shop/8hp50-transmission?_nkw=8hp50+transmission"/>
    <hyperlink ref="L9" r:id="rId5" display="https://pmcmotorsport-shop.com/ZF-8HP-SWAP-Diagnostics-Tuning-choosing-right-TCU-blog-eng-1775051619.html"/>
    <hyperlink ref="L10" r:id="rId6" display="https://www.turbolamik.us/tcu-accessories/tcu-turbolamik-full-kit/"/>
    <hyperlink ref="L11" r:id="rId7" display="https://www.domi-works.com/products/canformance-cantcu-transmission-controller"/>
    <hyperlink ref="L12" r:id="rId8" display="https://www.domi-works.com/products/cantcu-8hp-dct-wiring-harness-kit"/>
    <hyperlink ref="L13" r:id="rId9" display="https://www.ebay.com/itm/265802875523"/>
    <hyperlink ref="L15" r:id="rId10" display="https://www.domi-works.com/products/8hp-oil-cooler-adapter-n57"/>
    <hyperlink ref="L17" r:id="rId11" display="https://automaxxparts.com/products/zf-lifeguard-8-transmission-fluid-1-liter-jug-for-zf8hp45-8hp50-70-2010"/>
    <hyperlink ref="L18" r:id="rId12" display="https://hpr-tuning.com/products/slg-hpr-park-lock-release-for-bmw"/>
    <hyperlink ref="L20" r:id="rId13" display="https://spoolperformance.com/products/8hpx-high-stall-upgraded-torque-converte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90"/>
  </cols>
  <sheetData>
    <row r="1" customFormat="false" ht="17.35" hidden="false" customHeight="false" outlineLevel="0" collapsed="false">
      <c r="A1" s="1" t="s">
        <v>206</v>
      </c>
      <c r="B1" s="2"/>
      <c r="C1" s="2"/>
    </row>
    <row r="2" customFormat="false" ht="15" hidden="false" customHeight="false" outlineLevel="0" collapsed="false">
      <c r="A2" s="2"/>
      <c r="B2" s="2"/>
      <c r="C2" s="2"/>
    </row>
    <row r="3" customFormat="false" ht="15" hidden="false" customHeight="false" outlineLevel="0" collapsed="false">
      <c r="A3" s="8" t="s">
        <v>207</v>
      </c>
      <c r="B3" s="8" t="s">
        <v>208</v>
      </c>
      <c r="C3" s="8" t="s">
        <v>59</v>
      </c>
    </row>
    <row r="4" customFormat="false" ht="15" hidden="false" customHeight="false" outlineLevel="0" collapsed="false">
      <c r="A4" s="2" t="s">
        <v>141</v>
      </c>
      <c r="B4" s="23" t="n">
        <v>1</v>
      </c>
      <c r="C4" s="2" t="s">
        <v>209</v>
      </c>
    </row>
    <row r="5" customFormat="false" ht="15" hidden="false" customHeight="false" outlineLevel="0" collapsed="false">
      <c r="A5" s="2" t="s">
        <v>63</v>
      </c>
      <c r="B5" s="24" t="n">
        <v>1.42</v>
      </c>
      <c r="C5" s="2" t="s">
        <v>210</v>
      </c>
    </row>
    <row r="6" customFormat="false" ht="15" hidden="false" customHeight="false" outlineLevel="0" collapsed="false">
      <c r="A6" s="2" t="s">
        <v>73</v>
      </c>
      <c r="B6" s="24" t="n">
        <v>1.85</v>
      </c>
      <c r="C6" s="2" t="s">
        <v>211</v>
      </c>
    </row>
    <row r="7" customFormat="false" ht="15" hidden="false" customHeight="false" outlineLevel="0" collapsed="false">
      <c r="A7" s="2"/>
      <c r="B7" s="2"/>
      <c r="C7" s="2"/>
    </row>
    <row r="8" customFormat="false" ht="15" hidden="false" customHeight="false" outlineLevel="0" collapsed="false">
      <c r="A8" s="2" t="s">
        <v>212</v>
      </c>
      <c r="B8" s="25" t="n">
        <v>0.13</v>
      </c>
      <c r="C8" s="2" t="s">
        <v>213</v>
      </c>
    </row>
    <row r="9" customFormat="false" ht="15" hidden="false" customHeight="false" outlineLevel="0" collapsed="false">
      <c r="A9" s="2"/>
      <c r="B9" s="2"/>
      <c r="C9" s="2"/>
    </row>
    <row r="10" customFormat="false" ht="15" hidden="false" customHeight="false" outlineLevel="0" collapsed="false">
      <c r="A10" s="8" t="s">
        <v>214</v>
      </c>
      <c r="B10" s="2"/>
      <c r="C10" s="2"/>
    </row>
    <row r="11" customFormat="false" ht="42" hidden="false" customHeight="true" outlineLevel="0" collapsed="false">
      <c r="A11" s="11" t="s">
        <v>215</v>
      </c>
      <c r="B11" s="11"/>
      <c r="C11" s="11"/>
    </row>
    <row r="12" customFormat="false" ht="42" hidden="false" customHeight="true" outlineLevel="0" collapsed="false">
      <c r="A12" s="11" t="s">
        <v>216</v>
      </c>
      <c r="B12" s="11"/>
      <c r="C12" s="11"/>
    </row>
  </sheetData>
  <mergeCells count="2">
    <mergeCell ref="A11:C11"/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2026-10-04T16:10:00Z</dcterms:created>
  <dc:creator>openpyxl</dc:creator>
  <dc:description/>
  <dc:language>en-US</dc:language>
  <cp:lastModifiedBy/>
  <dcterms:modified xsi:type="dcterms:W3CDTF">2026-10-04T16:10:00Z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